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6.xml" ContentType="application/vnd.openxmlformats-officedocument.spreadsheetml.comments+xml"/>
  <Override PartName="/xl/threadedComments/threadedComment5.xml" ContentType="application/vnd.ms-excel.threadedcomments+xml"/>
  <Override PartName="/xl/drawings/drawing10.xml" ContentType="application/vnd.openxmlformats-officedocument.drawing+xml"/>
  <Override PartName="/xl/comments7.xml" ContentType="application/vnd.openxmlformats-officedocument.spreadsheetml.comments+xml"/>
  <Override PartName="/xl/threadedComments/threadedComment6.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ruper\OneDrive\Desktop\"/>
    </mc:Choice>
  </mc:AlternateContent>
  <xr:revisionPtr revIDLastSave="0" documentId="8_{A9E98537-6196-4158-AABD-5571F2571D1E}" xr6:coauthVersionLast="47" xr6:coauthVersionMax="47" xr10:uidLastSave="{00000000-0000-0000-0000-000000000000}"/>
  <bookViews>
    <workbookView xWindow="-108" yWindow="-108" windowWidth="23256" windowHeight="12576" tabRatio="921" firstSheet="1" activeTab="6" xr2:uid="{00000000-000D-0000-FFFF-FFFF00000000}"/>
  </bookViews>
  <sheets>
    <sheet name="instructions" sheetId="26" r:id="rId1"/>
    <sheet name="1. Site details" sheetId="7" r:id="rId2"/>
    <sheet name="2. Hardware" sheetId="2" r:id="rId3"/>
    <sheet name="3. Installation" sheetId="6" r:id="rId4"/>
    <sheet name="4a. Cost Summaries" sheetId="10" r:id="rId5"/>
    <sheet name="4b. Energy Summaries" sheetId="25" r:id="rId6"/>
    <sheet name="5. Site Cashflow" sheetId="8" r:id="rId7"/>
    <sheet name="Generation Enhancement" sheetId="28" r:id="rId8"/>
    <sheet name="Environmentally Friendly Asset" sheetId="11" r:id="rId9"/>
    <sheet name="Household Offer" sheetId="27" r:id="rId10"/>
    <sheet name="REF" sheetId="24" r:id="rId11"/>
    <sheet name="PV Products" sheetId="3" r:id="rId12"/>
    <sheet name="Battery Products" sheetId="4" r:id="rId13"/>
    <sheet name="Cabling &amp; Grid" sheetId="5" r:id="rId14"/>
  </sheets>
  <definedNames>
    <definedName name="solver_adj" localSheetId="6" hidden="1">'5. Site Cashflow'!$G$11</definedName>
    <definedName name="solver_cvg" localSheetId="6" hidden="1">0.0001</definedName>
    <definedName name="solver_drv" localSheetId="6" hidden="1">1</definedName>
    <definedName name="solver_eng" localSheetId="6" hidden="1">1</definedName>
    <definedName name="solver_est" localSheetId="6" hidden="1">1</definedName>
    <definedName name="solver_itr" localSheetId="6" hidden="1">2147483647</definedName>
    <definedName name="solver_lhs1" localSheetId="6" hidden="1">'5. Site Cashflow'!$G$11</definedName>
    <definedName name="solver_lhs2" localSheetId="6" hidden="1">'5. Site Cashflow'!$G$11</definedName>
    <definedName name="solver_mip" localSheetId="6" hidden="1">2147483647</definedName>
    <definedName name="solver_mni" localSheetId="6" hidden="1">30</definedName>
    <definedName name="solver_mrt" localSheetId="6" hidden="1">0.075</definedName>
    <definedName name="solver_msl" localSheetId="6" hidden="1">2</definedName>
    <definedName name="solver_neg" localSheetId="6" hidden="1">1</definedName>
    <definedName name="solver_nod" localSheetId="6" hidden="1">2147483647</definedName>
    <definedName name="solver_num" localSheetId="6" hidden="1">2</definedName>
    <definedName name="solver_nwt" localSheetId="6" hidden="1">1</definedName>
    <definedName name="solver_opt" localSheetId="6" hidden="1">'5. Site Cashflow'!$G$12</definedName>
    <definedName name="solver_pre" localSheetId="6" hidden="1">0.000001</definedName>
    <definedName name="solver_rbv" localSheetId="6" hidden="1">1</definedName>
    <definedName name="solver_rel1" localSheetId="6" hidden="1">4</definedName>
    <definedName name="solver_rel2" localSheetId="6" hidden="1">3</definedName>
    <definedName name="solver_rhs1" localSheetId="6" hidden="1">"integer"</definedName>
    <definedName name="solver_rhs2" localSheetId="6" hidden="1">0</definedName>
    <definedName name="solver_rlx" localSheetId="6" hidden="1">2</definedName>
    <definedName name="solver_rsd" localSheetId="6" hidden="1">0</definedName>
    <definedName name="solver_scl" localSheetId="6" hidden="1">1</definedName>
    <definedName name="solver_sho" localSheetId="6" hidden="1">2</definedName>
    <definedName name="solver_ssz" localSheetId="6" hidden="1">100</definedName>
    <definedName name="solver_tim" localSheetId="6" hidden="1">2147483647</definedName>
    <definedName name="solver_tol" localSheetId="6" hidden="1">0.01</definedName>
    <definedName name="solver_typ" localSheetId="6" hidden="1">3</definedName>
    <definedName name="solver_val" localSheetId="6" hidden="1">0</definedName>
    <definedName name="solver_ver" localSheetId="6"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9" i="8" l="1"/>
  <c r="E9" i="3"/>
  <c r="E8" i="3"/>
  <c r="E7" i="3"/>
  <c r="E6" i="3"/>
  <c r="E5" i="3"/>
  <c r="E4" i="3"/>
  <c r="E3" i="3"/>
  <c r="G21" i="8" s="1"/>
  <c r="B49" i="7"/>
  <c r="C15" i="24" l="1"/>
  <c r="C16" i="24"/>
  <c r="C17" i="24"/>
  <c r="C18" i="24"/>
  <c r="C19" i="24"/>
  <c r="C20" i="24"/>
  <c r="C21" i="24"/>
  <c r="C22" i="24"/>
  <c r="C23" i="24"/>
  <c r="C24" i="24"/>
  <c r="C25" i="24"/>
  <c r="C26" i="24"/>
  <c r="C27" i="24"/>
  <c r="C28" i="24"/>
  <c r="C29" i="24"/>
  <c r="C30" i="24"/>
  <c r="C31" i="24"/>
  <c r="C32" i="24"/>
  <c r="C33" i="24"/>
  <c r="C34" i="24"/>
  <c r="C35" i="24"/>
  <c r="C36" i="24"/>
  <c r="C37" i="24"/>
  <c r="C38" i="24"/>
  <c r="C39" i="24"/>
  <c r="C40" i="24"/>
  <c r="C41" i="24"/>
  <c r="C42" i="24"/>
  <c r="C43" i="24"/>
  <c r="C44" i="24"/>
  <c r="C45" i="24"/>
  <c r="C46" i="24"/>
  <c r="C47" i="24"/>
  <c r="C48" i="24"/>
  <c r="C49" i="24"/>
  <c r="C50" i="24"/>
  <c r="C51" i="24"/>
  <c r="C52" i="24"/>
  <c r="C53" i="24"/>
  <c r="C54" i="24"/>
  <c r="C55" i="24"/>
  <c r="C56" i="24"/>
  <c r="C57" i="24"/>
  <c r="C58" i="24"/>
  <c r="C59" i="24"/>
  <c r="C60" i="24"/>
  <c r="C61" i="24"/>
  <c r="C62" i="24"/>
  <c r="C63" i="24"/>
  <c r="C64" i="24"/>
  <c r="C65" i="24"/>
  <c r="C66" i="24"/>
  <c r="C67" i="24"/>
  <c r="C68" i="24"/>
  <c r="C69" i="24"/>
  <c r="C70" i="24"/>
  <c r="C71" i="24"/>
  <c r="C72" i="24"/>
  <c r="C73" i="24"/>
  <c r="C74" i="24"/>
  <c r="C75" i="24"/>
  <c r="C76" i="24"/>
  <c r="C77" i="24"/>
  <c r="C78" i="24"/>
  <c r="C79" i="24"/>
  <c r="C80" i="24"/>
  <c r="C81" i="24"/>
  <c r="C82" i="24"/>
  <c r="C83" i="24"/>
  <c r="C84" i="24"/>
  <c r="C85" i="24"/>
  <c r="C86" i="24"/>
  <c r="C87" i="24"/>
  <c r="C88" i="24"/>
  <c r="C89" i="24"/>
  <c r="C90" i="24"/>
  <c r="C91" i="24"/>
  <c r="C92" i="24"/>
  <c r="C93" i="24"/>
  <c r="C94" i="24"/>
  <c r="C95" i="24"/>
  <c r="C96" i="24"/>
  <c r="C97" i="24"/>
  <c r="C98" i="24"/>
  <c r="C99" i="24"/>
  <c r="C100" i="24"/>
  <c r="C101" i="24"/>
  <c r="C102" i="24"/>
  <c r="C103" i="24"/>
  <c r="C104" i="24"/>
  <c r="E28" i="7" l="1"/>
  <c r="H77" i="8"/>
  <c r="C8" i="28"/>
  <c r="D4" i="28"/>
  <c r="G59" i="8"/>
  <c r="G41" i="8" l="1"/>
  <c r="G42" i="8"/>
  <c r="G24" i="8"/>
  <c r="G25" i="8" l="1"/>
  <c r="E5" i="2" l="1"/>
  <c r="I11" i="4"/>
  <c r="H11" i="4"/>
  <c r="E4" i="2"/>
  <c r="D4" i="2"/>
  <c r="H8" i="3"/>
  <c r="H9" i="3"/>
  <c r="I12" i="4" l="1"/>
  <c r="H12" i="4"/>
  <c r="I10" i="4"/>
  <c r="H10" i="4"/>
  <c r="I9" i="4"/>
  <c r="H9" i="4"/>
  <c r="I8" i="4"/>
  <c r="H8" i="4"/>
  <c r="I7" i="4"/>
  <c r="H7" i="4"/>
  <c r="I6" i="4"/>
  <c r="H6" i="4"/>
  <c r="I5" i="4"/>
  <c r="H5" i="4"/>
  <c r="I4" i="4"/>
  <c r="H4" i="4"/>
  <c r="I3" i="4"/>
  <c r="H3" i="4"/>
  <c r="G3" i="3"/>
  <c r="I17" i="3"/>
  <c r="G7" i="3" s="1"/>
  <c r="I16" i="3"/>
  <c r="G6" i="3" s="1"/>
  <c r="I15" i="3"/>
  <c r="G5" i="3" s="1"/>
  <c r="I14" i="3"/>
  <c r="G4" i="3" s="1"/>
  <c r="E30" i="7"/>
  <c r="C44" i="7"/>
  <c r="C43" i="7"/>
  <c r="M16" i="25" l="1"/>
  <c r="M15" i="25"/>
  <c r="E40" i="7"/>
  <c r="H28" i="7" l="1"/>
  <c r="E53" i="7"/>
  <c r="E32" i="7" l="1"/>
  <c r="E47" i="7"/>
  <c r="E41" i="7" l="1"/>
  <c r="E48" i="7" s="1"/>
  <c r="E42" i="7"/>
  <c r="E49" i="7" s="1"/>
  <c r="E34" i="7"/>
  <c r="E39" i="7" s="1"/>
  <c r="E54" i="7"/>
  <c r="D3" i="27"/>
  <c r="D4" i="27" s="1"/>
  <c r="D5" i="27" s="1"/>
  <c r="E46" i="7" l="1"/>
  <c r="E50" i="7" s="1"/>
  <c r="E43" i="7"/>
  <c r="E44" i="7" s="1"/>
  <c r="E55" i="7"/>
  <c r="G26" i="8"/>
  <c r="F5" i="25" l="1"/>
  <c r="H9" i="25"/>
  <c r="G40" i="8" l="1"/>
  <c r="F6" i="25" l="1"/>
  <c r="M17" i="25" s="1"/>
  <c r="G3" i="25"/>
  <c r="F2" i="25"/>
  <c r="F3" i="25" l="1"/>
  <c r="G5" i="2" s="1"/>
  <c r="F6" i="24"/>
  <c r="F7" i="24" s="1"/>
  <c r="F8" i="24" s="1"/>
  <c r="F9" i="24" s="1"/>
  <c r="F10" i="24" s="1"/>
  <c r="F11" i="24" s="1"/>
  <c r="F12" i="24" s="1"/>
  <c r="F13" i="24" s="1"/>
  <c r="F14" i="24" s="1"/>
  <c r="F15" i="24" s="1"/>
  <c r="F16" i="24" s="1"/>
  <c r="F17" i="24" s="1"/>
  <c r="F18" i="24" s="1"/>
  <c r="F19" i="24" s="1"/>
  <c r="F20" i="24" s="1"/>
  <c r="F21" i="24" s="1"/>
  <c r="F22" i="24" s="1"/>
  <c r="F23" i="24" s="1"/>
  <c r="F24" i="24" s="1"/>
  <c r="F25" i="24" s="1"/>
  <c r="F26" i="24" s="1"/>
  <c r="F27" i="24" s="1"/>
  <c r="F28" i="24" s="1"/>
  <c r="F29" i="24" s="1"/>
  <c r="F30" i="24" s="1"/>
  <c r="F31" i="24" s="1"/>
  <c r="F32" i="24" s="1"/>
  <c r="F33" i="24" s="1"/>
  <c r="F34" i="24" s="1"/>
  <c r="F35" i="24" s="1"/>
  <c r="F36" i="24" s="1"/>
  <c r="F37" i="24" s="1"/>
  <c r="F38" i="24" s="1"/>
  <c r="F39" i="24" s="1"/>
  <c r="F40" i="24" s="1"/>
  <c r="F41" i="24" s="1"/>
  <c r="F42" i="24" s="1"/>
  <c r="F43" i="24" s="1"/>
  <c r="F44" i="24" s="1"/>
  <c r="F45" i="24" s="1"/>
  <c r="F46" i="24" s="1"/>
  <c r="F47" i="24" s="1"/>
  <c r="F48" i="24" s="1"/>
  <c r="F49" i="24" s="1"/>
  <c r="F50" i="24" s="1"/>
  <c r="F51" i="24" s="1"/>
  <c r="F52" i="24" s="1"/>
  <c r="F53" i="24" s="1"/>
  <c r="F54" i="24" s="1"/>
  <c r="C14" i="24"/>
  <c r="C13" i="24"/>
  <c r="C12" i="24"/>
  <c r="C11" i="24"/>
  <c r="C10" i="24"/>
  <c r="C9" i="24"/>
  <c r="C8" i="24"/>
  <c r="C7" i="24"/>
  <c r="C6" i="24"/>
  <c r="C5" i="24"/>
  <c r="C4" i="24"/>
  <c r="H7" i="3" l="1"/>
  <c r="H6" i="3"/>
  <c r="H5" i="3"/>
  <c r="H4" i="3"/>
  <c r="G33" i="8" l="1"/>
  <c r="G16" i="8" l="1"/>
  <c r="C6" i="6" l="1"/>
  <c r="C9" i="6" s="1"/>
  <c r="H3" i="3"/>
  <c r="F4" i="2" l="1"/>
  <c r="D5" i="7"/>
  <c r="G28" i="8" s="1"/>
  <c r="G4" i="2" l="1"/>
  <c r="G9" i="2" s="1"/>
  <c r="C3" i="10" s="1"/>
  <c r="H33" i="8"/>
  <c r="H62" i="8"/>
  <c r="I22" i="8"/>
  <c r="I17" i="8"/>
  <c r="H15" i="8"/>
  <c r="D2" i="28" s="1"/>
  <c r="J17" i="8" l="1"/>
  <c r="E4" i="28"/>
  <c r="I33" i="8"/>
  <c r="H32" i="8"/>
  <c r="H16" i="8"/>
  <c r="I62" i="8"/>
  <c r="J22" i="8"/>
  <c r="I15" i="8"/>
  <c r="E2" i="28" s="1"/>
  <c r="H28" i="8" l="1"/>
  <c r="H34" i="8" s="1"/>
  <c r="D3" i="28"/>
  <c r="K17" i="8"/>
  <c r="F4" i="28"/>
  <c r="D34" i="8"/>
  <c r="J33" i="8"/>
  <c r="I32" i="8"/>
  <c r="I16" i="8"/>
  <c r="H42" i="8"/>
  <c r="H23" i="8"/>
  <c r="H41" i="8"/>
  <c r="J62" i="8"/>
  <c r="K22" i="8"/>
  <c r="J15" i="8"/>
  <c r="F2" i="28" s="1"/>
  <c r="L17" i="8" l="1"/>
  <c r="G4" i="28"/>
  <c r="I23" i="8"/>
  <c r="E3" i="28"/>
  <c r="K33" i="8"/>
  <c r="H26" i="8"/>
  <c r="H27" i="8" s="1"/>
  <c r="J32" i="8"/>
  <c r="J16" i="8"/>
  <c r="I41" i="8"/>
  <c r="I28" i="8"/>
  <c r="I34" i="8" s="1"/>
  <c r="I42" i="8"/>
  <c r="K62" i="8"/>
  <c r="H65" i="8"/>
  <c r="L22" i="8"/>
  <c r="K15" i="8"/>
  <c r="G2" i="28" s="1"/>
  <c r="I65" i="8" l="1"/>
  <c r="I26" i="8"/>
  <c r="I27" i="8" s="1"/>
  <c r="I35" i="8" s="1"/>
  <c r="I36" i="8" s="1"/>
  <c r="J28" i="8"/>
  <c r="J34" i="8" s="1"/>
  <c r="F3" i="28"/>
  <c r="M17" i="8"/>
  <c r="H4" i="28"/>
  <c r="H35" i="8"/>
  <c r="H36" i="8" s="1"/>
  <c r="H40" i="8" s="1"/>
  <c r="L33" i="8"/>
  <c r="K32" i="8"/>
  <c r="K16" i="8"/>
  <c r="J41" i="8"/>
  <c r="H64" i="8"/>
  <c r="H63" i="8" s="1"/>
  <c r="L62" i="8"/>
  <c r="J42" i="8"/>
  <c r="J23" i="8"/>
  <c r="M22" i="8"/>
  <c r="L15" i="8"/>
  <c r="I64" i="8" l="1"/>
  <c r="I63" i="8" s="1"/>
  <c r="H2" i="28"/>
  <c r="K23" i="8"/>
  <c r="K65" i="8" s="1"/>
  <c r="G3" i="28"/>
  <c r="N17" i="8"/>
  <c r="I4" i="28"/>
  <c r="M33" i="8"/>
  <c r="L32" i="8"/>
  <c r="L16" i="8"/>
  <c r="I40" i="8"/>
  <c r="K42" i="8"/>
  <c r="J26" i="8"/>
  <c r="J27" i="8" s="1"/>
  <c r="J35" i="8" s="1"/>
  <c r="J65" i="8"/>
  <c r="K28" i="8"/>
  <c r="K34" i="8" s="1"/>
  <c r="M62" i="8"/>
  <c r="K41" i="8"/>
  <c r="N22" i="8"/>
  <c r="M15" i="8"/>
  <c r="K26" i="8" l="1"/>
  <c r="K27" i="8" s="1"/>
  <c r="K35" i="8" s="1"/>
  <c r="I2" i="28"/>
  <c r="L28" i="8"/>
  <c r="L34" i="8" s="1"/>
  <c r="H3" i="28"/>
  <c r="O17" i="8"/>
  <c r="J4" i="28"/>
  <c r="N33" i="8"/>
  <c r="D11" i="27"/>
  <c r="D12" i="27" s="1"/>
  <c r="D13" i="27" s="1"/>
  <c r="M32" i="8"/>
  <c r="M16" i="8"/>
  <c r="L42" i="8"/>
  <c r="L23" i="8"/>
  <c r="N62" i="8"/>
  <c r="J64" i="8"/>
  <c r="J63" i="8" s="1"/>
  <c r="L41" i="8"/>
  <c r="O22" i="8"/>
  <c r="N15" i="8"/>
  <c r="K64" i="8" l="1"/>
  <c r="K63" i="8" s="1"/>
  <c r="J2" i="28"/>
  <c r="M23" i="8"/>
  <c r="M26" i="8" s="1"/>
  <c r="M27" i="8" s="1"/>
  <c r="M35" i="8" s="1"/>
  <c r="I3" i="28"/>
  <c r="P17" i="8"/>
  <c r="K4" i="28"/>
  <c r="O33" i="8"/>
  <c r="N32" i="8"/>
  <c r="N16" i="8"/>
  <c r="M28" i="8"/>
  <c r="M34" i="8" s="1"/>
  <c r="J36" i="8"/>
  <c r="M42" i="8"/>
  <c r="M41" i="8"/>
  <c r="O62" i="8"/>
  <c r="K36" i="8"/>
  <c r="L65" i="8"/>
  <c r="L26" i="8"/>
  <c r="L27" i="8" s="1"/>
  <c r="L35" i="8" s="1"/>
  <c r="P22" i="8"/>
  <c r="O15" i="8"/>
  <c r="K2" i="28" l="1"/>
  <c r="Q17" i="8"/>
  <c r="L4" i="28"/>
  <c r="N23" i="8"/>
  <c r="N26" i="8" s="1"/>
  <c r="N27" i="8" s="1"/>
  <c r="N35" i="8" s="1"/>
  <c r="J3" i="28"/>
  <c r="M65" i="8"/>
  <c r="P33" i="8"/>
  <c r="O32" i="8"/>
  <c r="O16" i="8"/>
  <c r="M64" i="8"/>
  <c r="N28" i="8"/>
  <c r="N34" i="8" s="1"/>
  <c r="L64" i="8"/>
  <c r="L63" i="8" s="1"/>
  <c r="P62" i="8"/>
  <c r="N41" i="8"/>
  <c r="N42" i="8"/>
  <c r="J40" i="8"/>
  <c r="K40" i="8"/>
  <c r="Q22" i="8"/>
  <c r="P15" i="8"/>
  <c r="L2" i="28" l="1"/>
  <c r="N65" i="8"/>
  <c r="O28" i="8"/>
  <c r="O34" i="8" s="1"/>
  <c r="K3" i="28"/>
  <c r="M63" i="8"/>
  <c r="R17" i="8"/>
  <c r="M4" i="28"/>
  <c r="Q33" i="8"/>
  <c r="P32" i="8"/>
  <c r="P16" i="8"/>
  <c r="O41" i="8"/>
  <c r="O23" i="8"/>
  <c r="Q62" i="8"/>
  <c r="L36" i="8"/>
  <c r="M36" i="8"/>
  <c r="O42" i="8"/>
  <c r="N64" i="8"/>
  <c r="R22" i="8"/>
  <c r="Q15" i="8"/>
  <c r="N63" i="8" l="1"/>
  <c r="M2" i="28"/>
  <c r="S17" i="8"/>
  <c r="N4" i="28"/>
  <c r="P28" i="8"/>
  <c r="P34" i="8" s="1"/>
  <c r="L3" i="28"/>
  <c r="R33" i="8"/>
  <c r="P42" i="8"/>
  <c r="Q32" i="8"/>
  <c r="Q16" i="8"/>
  <c r="M3" i="28" s="1"/>
  <c r="P41" i="8"/>
  <c r="P23" i="8"/>
  <c r="N36" i="8"/>
  <c r="R62" i="8"/>
  <c r="O65" i="8"/>
  <c r="O26" i="8"/>
  <c r="O27" i="8" s="1"/>
  <c r="O35" i="8" s="1"/>
  <c r="L40" i="8"/>
  <c r="M40" i="8"/>
  <c r="S22" i="8"/>
  <c r="R15" i="8"/>
  <c r="N2" i="28" l="1"/>
  <c r="T17" i="8"/>
  <c r="O4" i="28"/>
  <c r="S33" i="8"/>
  <c r="P26" i="8"/>
  <c r="P27" i="8" s="1"/>
  <c r="P35" i="8" s="1"/>
  <c r="Q41" i="8"/>
  <c r="R32" i="8"/>
  <c r="R16" i="8"/>
  <c r="P65" i="8"/>
  <c r="Q28" i="8"/>
  <c r="Q34" i="8" s="1"/>
  <c r="Q23" i="8"/>
  <c r="Q42" i="8"/>
  <c r="O64" i="8"/>
  <c r="O63" i="8" s="1"/>
  <c r="S62" i="8"/>
  <c r="N40" i="8"/>
  <c r="T22" i="8"/>
  <c r="S15" i="8"/>
  <c r="O2" i="28" l="1"/>
  <c r="R23" i="8"/>
  <c r="R26" i="8" s="1"/>
  <c r="R27" i="8" s="1"/>
  <c r="R35" i="8" s="1"/>
  <c r="N3" i="28"/>
  <c r="U17" i="8"/>
  <c r="P4" i="28"/>
  <c r="T33" i="8"/>
  <c r="P64" i="8"/>
  <c r="P63" i="8" s="1"/>
  <c r="P36" i="8" s="1"/>
  <c r="P40" i="8" s="1"/>
  <c r="S32" i="8"/>
  <c r="S16" i="8"/>
  <c r="O3" i="28" s="1"/>
  <c r="Q26" i="8"/>
  <c r="Q65" i="8"/>
  <c r="R42" i="8"/>
  <c r="O36" i="8"/>
  <c r="R41" i="8"/>
  <c r="R28" i="8"/>
  <c r="R34" i="8" s="1"/>
  <c r="T62" i="8"/>
  <c r="U22" i="8"/>
  <c r="T15" i="8"/>
  <c r="R65" i="8" l="1"/>
  <c r="P2" i="28"/>
  <c r="V17" i="8"/>
  <c r="Q4" i="28"/>
  <c r="U33" i="8"/>
  <c r="T32" i="8"/>
  <c r="T16" i="8"/>
  <c r="P3" i="28" s="1"/>
  <c r="S42" i="8"/>
  <c r="Q27" i="8"/>
  <c r="R64" i="8"/>
  <c r="S28" i="8"/>
  <c r="S34" i="8" s="1"/>
  <c r="O40" i="8"/>
  <c r="S23" i="8"/>
  <c r="U62" i="8"/>
  <c r="S41" i="8"/>
  <c r="V22" i="8"/>
  <c r="U15" i="8"/>
  <c r="R63" i="8" l="1"/>
  <c r="Q2" i="28"/>
  <c r="W17" i="8"/>
  <c r="R4" i="28"/>
  <c r="Q64" i="8"/>
  <c r="Q63" i="8" s="1"/>
  <c r="Q35" i="8"/>
  <c r="Q36" i="8" s="1"/>
  <c r="V33" i="8"/>
  <c r="T42" i="8"/>
  <c r="U32" i="8"/>
  <c r="U16" i="8"/>
  <c r="Q3" i="28" s="1"/>
  <c r="T23" i="8"/>
  <c r="T28" i="8"/>
  <c r="T34" i="8" s="1"/>
  <c r="T41" i="8"/>
  <c r="R36" i="8"/>
  <c r="S65" i="8"/>
  <c r="S26" i="8"/>
  <c r="V62" i="8"/>
  <c r="W22" i="8"/>
  <c r="V15" i="8"/>
  <c r="R2" i="28" l="1"/>
  <c r="X17" i="8"/>
  <c r="S4" i="28"/>
  <c r="W33" i="8"/>
  <c r="T65" i="8"/>
  <c r="U42" i="8"/>
  <c r="V32" i="8"/>
  <c r="V16" i="8"/>
  <c r="Q40" i="8"/>
  <c r="T26" i="8"/>
  <c r="T27" i="8" s="1"/>
  <c r="T35" i="8" s="1"/>
  <c r="U41" i="8"/>
  <c r="W62" i="8"/>
  <c r="S27" i="8"/>
  <c r="R40" i="8"/>
  <c r="U28" i="8"/>
  <c r="U34" i="8" s="1"/>
  <c r="U23" i="8"/>
  <c r="X22" i="8"/>
  <c r="W15" i="8"/>
  <c r="S2" i="28" l="1"/>
  <c r="V28" i="8"/>
  <c r="V34" i="8" s="1"/>
  <c r="R3" i="28"/>
  <c r="Y17" i="8"/>
  <c r="T4" i="28"/>
  <c r="S64" i="8"/>
  <c r="S63" i="8" s="1"/>
  <c r="S35" i="8"/>
  <c r="X33" i="8"/>
  <c r="W32" i="8"/>
  <c r="W16" i="8"/>
  <c r="V41" i="8"/>
  <c r="T64" i="8"/>
  <c r="T63" i="8" s="1"/>
  <c r="V23" i="8"/>
  <c r="X62" i="8"/>
  <c r="U65" i="8"/>
  <c r="U26" i="8"/>
  <c r="U27" i="8" s="1"/>
  <c r="U35" i="8" s="1"/>
  <c r="V42" i="8"/>
  <c r="Y22" i="8"/>
  <c r="X15" i="8"/>
  <c r="T2" i="28" l="1"/>
  <c r="W23" i="8"/>
  <c r="W26" i="8" s="1"/>
  <c r="W27" i="8" s="1"/>
  <c r="W35" i="8" s="1"/>
  <c r="S3" i="28"/>
  <c r="Z17" i="8"/>
  <c r="U4" i="28"/>
  <c r="Y33" i="8"/>
  <c r="X32" i="8"/>
  <c r="X16" i="8"/>
  <c r="T3" i="28" s="1"/>
  <c r="W42" i="8"/>
  <c r="T36" i="8"/>
  <c r="W28" i="8"/>
  <c r="W34" i="8" s="1"/>
  <c r="W41" i="8"/>
  <c r="S36" i="8"/>
  <c r="V26" i="8"/>
  <c r="V27" i="8" s="1"/>
  <c r="V35" i="8" s="1"/>
  <c r="V65" i="8"/>
  <c r="Y62" i="8"/>
  <c r="U64" i="8"/>
  <c r="U63" i="8" s="1"/>
  <c r="Z22" i="8"/>
  <c r="Y15" i="8"/>
  <c r="W65" i="8" l="1"/>
  <c r="U2" i="28"/>
  <c r="AA17" i="8"/>
  <c r="V4" i="28"/>
  <c r="Z33" i="8"/>
  <c r="Y32" i="8"/>
  <c r="Y16" i="8"/>
  <c r="X42" i="8"/>
  <c r="W64" i="8"/>
  <c r="T40" i="8"/>
  <c r="U36" i="8"/>
  <c r="V64" i="8"/>
  <c r="V63" i="8" s="1"/>
  <c r="X23" i="8"/>
  <c r="X41" i="8"/>
  <c r="S40" i="8"/>
  <c r="X28" i="8"/>
  <c r="X34" i="8" s="1"/>
  <c r="Z62" i="8"/>
  <c r="AA22" i="8"/>
  <c r="Z15" i="8"/>
  <c r="W63" i="8" l="1"/>
  <c r="V2" i="28"/>
  <c r="Y23" i="8"/>
  <c r="U3" i="28"/>
  <c r="AB17" i="8"/>
  <c r="W4" i="28"/>
  <c r="AA33" i="8"/>
  <c r="Z32" i="8"/>
  <c r="Z16" i="8"/>
  <c r="Y42" i="8"/>
  <c r="Y28" i="8"/>
  <c r="Y34" i="8" s="1"/>
  <c r="Y41" i="8"/>
  <c r="W36" i="8"/>
  <c r="W40" i="8" s="1"/>
  <c r="V36" i="8"/>
  <c r="U40" i="8"/>
  <c r="X65" i="8"/>
  <c r="X26" i="8"/>
  <c r="X27" i="8" s="1"/>
  <c r="X35" i="8" s="1"/>
  <c r="AA62" i="8"/>
  <c r="AB22" i="8"/>
  <c r="AA15" i="8"/>
  <c r="W2" i="28" l="1"/>
  <c r="Y65" i="8"/>
  <c r="Y26" i="8"/>
  <c r="Y27" i="8" s="1"/>
  <c r="Y35" i="8" s="1"/>
  <c r="AC17" i="8"/>
  <c r="X4" i="28"/>
  <c r="Z23" i="8"/>
  <c r="Z65" i="8" s="1"/>
  <c r="V3" i="28"/>
  <c r="AB33" i="8"/>
  <c r="AA32" i="8"/>
  <c r="AA16" i="8"/>
  <c r="Z42" i="8"/>
  <c r="Z41" i="8"/>
  <c r="V40" i="8"/>
  <c r="AB62" i="8"/>
  <c r="X64" i="8"/>
  <c r="X63" i="8" s="1"/>
  <c r="Z28" i="8"/>
  <c r="Z34" i="8" s="1"/>
  <c r="AC22" i="8"/>
  <c r="AB15" i="8"/>
  <c r="Z26" i="8" l="1"/>
  <c r="Z27" i="8" s="1"/>
  <c r="Z35" i="8" s="1"/>
  <c r="X2" i="28"/>
  <c r="Y64" i="8"/>
  <c r="Y63" i="8" s="1"/>
  <c r="AA23" i="8"/>
  <c r="AA65" i="8" s="1"/>
  <c r="W3" i="28"/>
  <c r="AD17" i="8"/>
  <c r="Y4" i="28"/>
  <c r="AC33" i="8"/>
  <c r="AB32" i="8"/>
  <c r="AB16" i="8"/>
  <c r="Y36" i="8"/>
  <c r="X36" i="8"/>
  <c r="AC62" i="8"/>
  <c r="AA28" i="8"/>
  <c r="AA34" i="8" s="1"/>
  <c r="AA41" i="8"/>
  <c r="AA42" i="8"/>
  <c r="AD22" i="8"/>
  <c r="AC15" i="8"/>
  <c r="AA26" i="8" l="1"/>
  <c r="AA27" i="8" s="1"/>
  <c r="AA35" i="8" s="1"/>
  <c r="Z64" i="8"/>
  <c r="Z63" i="8" s="1"/>
  <c r="Y2" i="28"/>
  <c r="AE17" i="8"/>
  <c r="Z4" i="28"/>
  <c r="AB28" i="8"/>
  <c r="AB34" i="8" s="1"/>
  <c r="X3" i="28"/>
  <c r="AD33" i="8"/>
  <c r="AC32" i="8"/>
  <c r="AC16" i="8"/>
  <c r="Y40" i="8"/>
  <c r="AB23" i="8"/>
  <c r="X40" i="8"/>
  <c r="Z36" i="8"/>
  <c r="AB42" i="8"/>
  <c r="AD62" i="8"/>
  <c r="AB41" i="8"/>
  <c r="AE22" i="8"/>
  <c r="AD15" i="8"/>
  <c r="AA64" i="8" l="1"/>
  <c r="AA63" i="8" s="1"/>
  <c r="Z2" i="28"/>
  <c r="AC23" i="8"/>
  <c r="AC26" i="8" s="1"/>
  <c r="AC27" i="8" s="1"/>
  <c r="AC35" i="8" s="1"/>
  <c r="Y3" i="28"/>
  <c r="AF17" i="8"/>
  <c r="AA4" i="28"/>
  <c r="AE33" i="8"/>
  <c r="AD32" i="8"/>
  <c r="AD16" i="8"/>
  <c r="AC41" i="8"/>
  <c r="AC42" i="8"/>
  <c r="AC28" i="8"/>
  <c r="AC34" i="8" s="1"/>
  <c r="AA36" i="8"/>
  <c r="Z40" i="8"/>
  <c r="AE62" i="8"/>
  <c r="AB26" i="8"/>
  <c r="AB27" i="8" s="1"/>
  <c r="AB35" i="8" s="1"/>
  <c r="AB65" i="8"/>
  <c r="AF22" i="8"/>
  <c r="AE15" i="8"/>
  <c r="AC65" i="8" l="1"/>
  <c r="AA2" i="28"/>
  <c r="AD23" i="8"/>
  <c r="AD65" i="8" s="1"/>
  <c r="Z3" i="28"/>
  <c r="AG17" i="8"/>
  <c r="AH17" i="8" s="1"/>
  <c r="AI17" i="8" s="1"/>
  <c r="AJ17" i="8" s="1"/>
  <c r="AK17" i="8" s="1"/>
  <c r="AL17" i="8" s="1"/>
  <c r="AM17" i="8" s="1"/>
  <c r="AN17" i="8" s="1"/>
  <c r="AO17" i="8" s="1"/>
  <c r="AP17" i="8" s="1"/>
  <c r="AQ17" i="8" s="1"/>
  <c r="AR17" i="8" s="1"/>
  <c r="AS17" i="8" s="1"/>
  <c r="AT17" i="8" s="1"/>
  <c r="AU17" i="8" s="1"/>
  <c r="AB4" i="28"/>
  <c r="AF33" i="8"/>
  <c r="AD26" i="8"/>
  <c r="AD27" i="8" s="1"/>
  <c r="AD35" i="8" s="1"/>
  <c r="AE32" i="8"/>
  <c r="AE16" i="8"/>
  <c r="AD42" i="8"/>
  <c r="AB64" i="8"/>
  <c r="AB63" i="8" s="1"/>
  <c r="AC64" i="8"/>
  <c r="AD41" i="8"/>
  <c r="AD28" i="8"/>
  <c r="AD34" i="8" s="1"/>
  <c r="AF62" i="8"/>
  <c r="AA40" i="8"/>
  <c r="AG22" i="8"/>
  <c r="AF15" i="8"/>
  <c r="AB2" i="28" s="1"/>
  <c r="AC63" i="8" l="1"/>
  <c r="AE28" i="8"/>
  <c r="AE34" i="8" s="1"/>
  <c r="AA3" i="28"/>
  <c r="AG33" i="8"/>
  <c r="AD64" i="8"/>
  <c r="AD63" i="8" s="1"/>
  <c r="AF32" i="8"/>
  <c r="AF16" i="8"/>
  <c r="AE41" i="8"/>
  <c r="AE23" i="8"/>
  <c r="AC36" i="8"/>
  <c r="AG62" i="8"/>
  <c r="AB36" i="8"/>
  <c r="AE42" i="8"/>
  <c r="AH22" i="8"/>
  <c r="AG15" i="8"/>
  <c r="AF23" i="8" l="1"/>
  <c r="AF26" i="8" s="1"/>
  <c r="AF27" i="8" s="1"/>
  <c r="AF35" i="8" s="1"/>
  <c r="AB3" i="28"/>
  <c r="AH33" i="8"/>
  <c r="AG32" i="8"/>
  <c r="AG16" i="8"/>
  <c r="AG28" i="8" s="1"/>
  <c r="AG34" i="8" s="1"/>
  <c r="AC40" i="8"/>
  <c r="AE26" i="8"/>
  <c r="AE65" i="8"/>
  <c r="AD36" i="8"/>
  <c r="AD40" i="8" s="1"/>
  <c r="AF42" i="8"/>
  <c r="AF41" i="8"/>
  <c r="AH62" i="8"/>
  <c r="AF28" i="8"/>
  <c r="AF34" i="8" s="1"/>
  <c r="AB40" i="8"/>
  <c r="AI22" i="8"/>
  <c r="AH15" i="8"/>
  <c r="AF65" i="8" l="1"/>
  <c r="AI33" i="8"/>
  <c r="AH32" i="8"/>
  <c r="AH16" i="8"/>
  <c r="AH23" i="8" s="1"/>
  <c r="AE27" i="8"/>
  <c r="AG23" i="8"/>
  <c r="AG41" i="8"/>
  <c r="AI62" i="8"/>
  <c r="AG42" i="8"/>
  <c r="AF64" i="8"/>
  <c r="AJ22" i="8"/>
  <c r="AI15" i="8"/>
  <c r="AF63" i="8" l="1"/>
  <c r="AE64" i="8"/>
  <c r="AE63" i="8" s="1"/>
  <c r="AE35" i="8"/>
  <c r="AE36" i="8" s="1"/>
  <c r="AJ33" i="8"/>
  <c r="AG65" i="8"/>
  <c r="AI32" i="8"/>
  <c r="AI16" i="8"/>
  <c r="AI23" i="8" s="1"/>
  <c r="AG26" i="8"/>
  <c r="AG27" i="8" s="1"/>
  <c r="AH65" i="8"/>
  <c r="AH26" i="8"/>
  <c r="AH27" i="8" s="1"/>
  <c r="AH35" i="8" s="1"/>
  <c r="AH28" i="8"/>
  <c r="AH34" i="8" s="1"/>
  <c r="AH41" i="8"/>
  <c r="AF36" i="8"/>
  <c r="AH42" i="8"/>
  <c r="AJ62" i="8"/>
  <c r="AK22" i="8"/>
  <c r="AJ15" i="8"/>
  <c r="AK33" i="8" l="1"/>
  <c r="AG64" i="8"/>
  <c r="AG63" i="8" s="1"/>
  <c r="AG35" i="8"/>
  <c r="AJ32" i="8"/>
  <c r="AJ16" i="8"/>
  <c r="AJ23" i="8" s="1"/>
  <c r="AH64" i="8"/>
  <c r="AH63" i="8" s="1"/>
  <c r="AH36" i="8" s="1"/>
  <c r="AE40" i="8"/>
  <c r="AI65" i="8"/>
  <c r="AI26" i="8"/>
  <c r="AI27" i="8" s="1"/>
  <c r="AI35" i="8" s="1"/>
  <c r="AF40" i="8"/>
  <c r="AI41" i="8"/>
  <c r="AK62" i="8"/>
  <c r="AI28" i="8"/>
  <c r="AI34" i="8" s="1"/>
  <c r="AI42" i="8"/>
  <c r="AL22" i="8"/>
  <c r="AK15" i="8"/>
  <c r="AG36" i="8" l="1"/>
  <c r="AG40" i="8" s="1"/>
  <c r="AL33" i="8"/>
  <c r="AK32" i="8"/>
  <c r="AK16" i="8"/>
  <c r="AK23" i="8" s="1"/>
  <c r="AJ26" i="8"/>
  <c r="AJ27" i="8" s="1"/>
  <c r="AJ35" i="8" s="1"/>
  <c r="AJ65" i="8"/>
  <c r="AJ41" i="8"/>
  <c r="AJ28" i="8"/>
  <c r="AJ34" i="8" s="1"/>
  <c r="AJ42" i="8"/>
  <c r="AH40" i="8"/>
  <c r="AL62" i="8"/>
  <c r="AI64" i="8"/>
  <c r="AI63" i="8" s="1"/>
  <c r="AM22" i="8"/>
  <c r="AL15" i="8"/>
  <c r="AM33" i="8" l="1"/>
  <c r="AL32" i="8"/>
  <c r="AL16" i="8"/>
  <c r="AL28" i="8" s="1"/>
  <c r="AL34" i="8" s="1"/>
  <c r="AJ64" i="8"/>
  <c r="AJ63" i="8" s="1"/>
  <c r="AK65" i="8"/>
  <c r="AK26" i="8"/>
  <c r="AK27" i="8" s="1"/>
  <c r="AK35" i="8" s="1"/>
  <c r="AK42" i="8"/>
  <c r="AK28" i="8"/>
  <c r="AK34" i="8" s="1"/>
  <c r="AM62" i="8"/>
  <c r="AK41" i="8"/>
  <c r="AI36" i="8"/>
  <c r="AN22" i="8"/>
  <c r="AM15" i="8"/>
  <c r="AN33" i="8" l="1"/>
  <c r="AM32" i="8"/>
  <c r="AM16" i="8"/>
  <c r="AJ36" i="8"/>
  <c r="AL23" i="8"/>
  <c r="AL42" i="8"/>
  <c r="AL41" i="8"/>
  <c r="AK64" i="8"/>
  <c r="AK63" i="8" s="1"/>
  <c r="AN62" i="8"/>
  <c r="AI40" i="8"/>
  <c r="AO22" i="8"/>
  <c r="AN15" i="8"/>
  <c r="AO33" i="8" l="1"/>
  <c r="AL26" i="8"/>
  <c r="AL27" i="8" s="1"/>
  <c r="AL35" i="8" s="1"/>
  <c r="AN32" i="8"/>
  <c r="AN16" i="8"/>
  <c r="AM42" i="8"/>
  <c r="AL65" i="8"/>
  <c r="AJ40" i="8"/>
  <c r="AK36" i="8"/>
  <c r="AO62" i="8"/>
  <c r="AM41" i="8"/>
  <c r="AM28" i="8"/>
  <c r="AM34" i="8" s="1"/>
  <c r="AM23" i="8"/>
  <c r="AP22" i="8"/>
  <c r="AO15" i="8"/>
  <c r="AP33" i="8" l="1"/>
  <c r="AL64" i="8"/>
  <c r="AL63" i="8" s="1"/>
  <c r="AL36" i="8" s="1"/>
  <c r="AN42" i="8"/>
  <c r="AO32" i="8"/>
  <c r="AO16" i="8"/>
  <c r="AN28" i="8"/>
  <c r="AN34" i="8" s="1"/>
  <c r="AK40" i="8"/>
  <c r="AP62" i="8"/>
  <c r="AN23" i="8"/>
  <c r="AM65" i="8"/>
  <c r="AM26" i="8"/>
  <c r="AM27" i="8" s="1"/>
  <c r="AN41" i="8"/>
  <c r="AQ22" i="8"/>
  <c r="AP15" i="8"/>
  <c r="AM64" i="8" l="1"/>
  <c r="AM63" i="8" s="1"/>
  <c r="AM35" i="8"/>
  <c r="AQ33" i="8"/>
  <c r="AO42" i="8"/>
  <c r="AP32" i="8"/>
  <c r="AP16" i="8"/>
  <c r="AO23" i="8"/>
  <c r="AO28" i="8"/>
  <c r="AO34" i="8" s="1"/>
  <c r="AL40" i="8"/>
  <c r="AL55" i="8"/>
  <c r="AL56" i="8" s="1"/>
  <c r="AN65" i="8"/>
  <c r="AN26" i="8"/>
  <c r="AN27" i="8" s="1"/>
  <c r="AN35" i="8" s="1"/>
  <c r="AQ62" i="8"/>
  <c r="AO41" i="8"/>
  <c r="AR22" i="8"/>
  <c r="AQ15" i="8"/>
  <c r="AR33" i="8" l="1"/>
  <c r="AP42" i="8"/>
  <c r="AQ32" i="8"/>
  <c r="AQ16" i="8"/>
  <c r="AO26" i="8"/>
  <c r="AO65" i="8"/>
  <c r="AP23" i="8"/>
  <c r="AN64" i="8"/>
  <c r="AN63" i="8" s="1"/>
  <c r="AM36" i="8"/>
  <c r="AP28" i="8"/>
  <c r="AP34" i="8" s="1"/>
  <c r="AP41" i="8"/>
  <c r="AR62" i="8"/>
  <c r="AS22" i="8"/>
  <c r="AR15" i="8"/>
  <c r="AS33" i="8" l="1"/>
  <c r="AQ42" i="8"/>
  <c r="AR32" i="8"/>
  <c r="AR16" i="8"/>
  <c r="AR28" i="8" s="1"/>
  <c r="AR34" i="8" s="1"/>
  <c r="AQ28" i="8"/>
  <c r="AQ34" i="8" s="1"/>
  <c r="AQ41" i="8"/>
  <c r="AQ23" i="8"/>
  <c r="AO27" i="8"/>
  <c r="AP26" i="8"/>
  <c r="AP27" i="8" s="1"/>
  <c r="AP35" i="8" s="1"/>
  <c r="AP65" i="8"/>
  <c r="AS62" i="8"/>
  <c r="AN36" i="8"/>
  <c r="AM40" i="8"/>
  <c r="AM55" i="8"/>
  <c r="AM56" i="8" s="1"/>
  <c r="AT22" i="8"/>
  <c r="AS15" i="8"/>
  <c r="AO64" i="8" l="1"/>
  <c r="AO63" i="8" s="1"/>
  <c r="AO35" i="8"/>
  <c r="AO36" i="8" s="1"/>
  <c r="AT33" i="8"/>
  <c r="AQ26" i="8"/>
  <c r="AQ27" i="8" s="1"/>
  <c r="AQ35" i="8" s="1"/>
  <c r="AS32" i="8"/>
  <c r="AS16" i="8"/>
  <c r="AS23" i="8" s="1"/>
  <c r="AQ65" i="8"/>
  <c r="AT62" i="8"/>
  <c r="AR41" i="8"/>
  <c r="AR23" i="8"/>
  <c r="AP64" i="8"/>
  <c r="AP63" i="8" s="1"/>
  <c r="AR42" i="8"/>
  <c r="AN40" i="8"/>
  <c r="AN55" i="8"/>
  <c r="AN56" i="8" s="1"/>
  <c r="AU22" i="8"/>
  <c r="AT15" i="8"/>
  <c r="AU33" i="8" l="1"/>
  <c r="AQ64" i="8"/>
  <c r="AQ63" i="8" s="1"/>
  <c r="AQ36" i="8" s="1"/>
  <c r="AQ40" i="8" s="1"/>
  <c r="AT32" i="8"/>
  <c r="AT16" i="8"/>
  <c r="AT23" i="8" s="1"/>
  <c r="AO40" i="8"/>
  <c r="AO55" i="8"/>
  <c r="AO56" i="8" s="1"/>
  <c r="AP36" i="8"/>
  <c r="AS65" i="8"/>
  <c r="AS26" i="8"/>
  <c r="AS27" i="8" s="1"/>
  <c r="AS35" i="8" s="1"/>
  <c r="AU62" i="8"/>
  <c r="AS28" i="8"/>
  <c r="AS34" i="8" s="1"/>
  <c r="AR65" i="8"/>
  <c r="AR26" i="8"/>
  <c r="AR27" i="8" s="1"/>
  <c r="AR35" i="8" s="1"/>
  <c r="AS41" i="8"/>
  <c r="AS42" i="8"/>
  <c r="AU15" i="8"/>
  <c r="AT65" i="8" l="1"/>
  <c r="AT28" i="8"/>
  <c r="AT34" i="8" s="1"/>
  <c r="AU32" i="8"/>
  <c r="AU16" i="8"/>
  <c r="AU28" i="8" s="1"/>
  <c r="AU34" i="8" s="1"/>
  <c r="AQ55" i="8"/>
  <c r="AQ56" i="8" s="1"/>
  <c r="AT42" i="8"/>
  <c r="AT41" i="8"/>
  <c r="AP40" i="8"/>
  <c r="AP55" i="8"/>
  <c r="AP56" i="8" s="1"/>
  <c r="AT26" i="8"/>
  <c r="AT27" i="8" s="1"/>
  <c r="AT35" i="8" s="1"/>
  <c r="AS64" i="8"/>
  <c r="AS63" i="8" s="1"/>
  <c r="AR64" i="8"/>
  <c r="AR63" i="8" s="1"/>
  <c r="AR36" i="8" l="1"/>
  <c r="AS36" i="8"/>
  <c r="AU23" i="8"/>
  <c r="AU41" i="8"/>
  <c r="AU42" i="8"/>
  <c r="AT64" i="8"/>
  <c r="AT63" i="8" s="1"/>
  <c r="AT36" i="8" l="1"/>
  <c r="AS55" i="8"/>
  <c r="AS56" i="8" s="1"/>
  <c r="AS40" i="8"/>
  <c r="AU26" i="8"/>
  <c r="AU27" i="8" s="1"/>
  <c r="AU35" i="8" s="1"/>
  <c r="AU65" i="8"/>
  <c r="AR40" i="8"/>
  <c r="AR55" i="8"/>
  <c r="AR56" i="8" s="1"/>
  <c r="AU64" i="8" l="1"/>
  <c r="AU63" i="8" s="1"/>
  <c r="AT40" i="8"/>
  <c r="AT55" i="8"/>
  <c r="AT56" i="8" s="1"/>
  <c r="AU36" i="8" l="1"/>
  <c r="AU40" i="8" l="1"/>
  <c r="AU55" i="8"/>
  <c r="AU56" i="8" s="1"/>
  <c r="G6" i="6" l="1"/>
  <c r="D9" i="6"/>
  <c r="E9" i="6"/>
  <c r="F9" i="6"/>
  <c r="G9" i="6" l="1"/>
  <c r="C4" i="10" s="1"/>
  <c r="C5" i="10" s="1"/>
  <c r="G32" i="8" l="1"/>
  <c r="G76" i="8" s="1"/>
  <c r="H43" i="8" l="1"/>
  <c r="H44" i="8" s="1"/>
  <c r="H78" i="8" s="1"/>
  <c r="H79" i="8" s="1"/>
  <c r="H50" i="8" l="1"/>
  <c r="D8" i="27" l="1"/>
  <c r="D9" i="27" s="1"/>
  <c r="D50" i="8" l="1"/>
  <c r="H51" i="8"/>
  <c r="H52" i="8" s="1"/>
  <c r="H55" i="8" l="1"/>
  <c r="D51" i="8"/>
  <c r="D52" i="8" s="1"/>
  <c r="D7" i="27" l="1"/>
  <c r="H56" i="8" l="1"/>
  <c r="I43" i="8"/>
  <c r="I44" i="8" s="1"/>
  <c r="I77" i="8"/>
  <c r="I50" i="8" l="1"/>
  <c r="I51" i="8" s="1"/>
  <c r="I52" i="8" s="1"/>
  <c r="I55" i="8" s="1"/>
  <c r="I56" i="8" s="1"/>
  <c r="I78" i="8"/>
  <c r="I79" i="8" s="1"/>
  <c r="J43" i="8" l="1"/>
  <c r="H80" i="8"/>
  <c r="I80" i="8" s="1"/>
  <c r="I81" i="8" s="1"/>
  <c r="J77" i="8"/>
  <c r="H81" i="8" l="1"/>
  <c r="J50" i="8"/>
  <c r="J51" i="8" s="1"/>
  <c r="J52" i="8" s="1"/>
  <c r="J44" i="8"/>
  <c r="J78" i="8" l="1"/>
  <c r="J79" i="8" s="1"/>
  <c r="J55" i="8"/>
  <c r="J56" i="8" s="1"/>
  <c r="K43" i="8" l="1"/>
  <c r="J80" i="8"/>
  <c r="K77" i="8"/>
  <c r="J81" i="8" l="1"/>
  <c r="K50" i="8"/>
  <c r="K51" i="8" s="1"/>
  <c r="K52" i="8" s="1"/>
  <c r="K44" i="8"/>
  <c r="K78" i="8" l="1"/>
  <c r="K79" i="8" s="1"/>
  <c r="K55" i="8"/>
  <c r="K56" i="8" s="1"/>
  <c r="K80" i="8" l="1"/>
  <c r="K81" i="8" s="1"/>
  <c r="L43" i="8"/>
  <c r="L77" i="8"/>
  <c r="L44" i="8" l="1"/>
  <c r="L50" i="8"/>
  <c r="L51" i="8" s="1"/>
  <c r="L52" i="8" s="1"/>
  <c r="L55" i="8" l="1"/>
  <c r="L56" i="8" s="1"/>
  <c r="L78" i="8"/>
  <c r="L79" i="8" s="1"/>
  <c r="L80" i="8" l="1"/>
  <c r="L81" i="8" s="1"/>
  <c r="M43" i="8"/>
  <c r="M77" i="8"/>
  <c r="M44" i="8" l="1"/>
  <c r="M50" i="8"/>
  <c r="M51" i="8" s="1"/>
  <c r="M52" i="8" s="1"/>
  <c r="M55" i="8" s="1"/>
  <c r="M56" i="8" s="1"/>
  <c r="M78" i="8" l="1"/>
  <c r="M79" i="8" s="1"/>
  <c r="N77" i="8" l="1"/>
  <c r="N43" i="8"/>
  <c r="M80" i="8"/>
  <c r="M81" i="8" s="1"/>
  <c r="N50" i="8" l="1"/>
  <c r="N51" i="8" s="1"/>
  <c r="N52" i="8" s="1"/>
  <c r="N55" i="8" s="1"/>
  <c r="N56" i="8" s="1"/>
  <c r="N44" i="8"/>
  <c r="N78" i="8" l="1"/>
  <c r="N79" i="8" s="1"/>
  <c r="N80" i="8" l="1"/>
  <c r="N81" i="8" s="1"/>
  <c r="O43" i="8"/>
  <c r="O77" i="8"/>
  <c r="O50" i="8" l="1"/>
  <c r="O51" i="8" s="1"/>
  <c r="O52" i="8" s="1"/>
  <c r="O55" i="8" s="1"/>
  <c r="O56" i="8" s="1"/>
  <c r="O44" i="8"/>
  <c r="O78" i="8" l="1"/>
  <c r="O79" i="8" s="1"/>
  <c r="O80" i="8" l="1"/>
  <c r="O81" i="8" s="1"/>
  <c r="P43" i="8"/>
  <c r="P77" i="8"/>
  <c r="P50" i="8" l="1"/>
  <c r="P51" i="8" s="1"/>
  <c r="P52" i="8" s="1"/>
  <c r="P55" i="8" s="1"/>
  <c r="P56" i="8" s="1"/>
  <c r="P44" i="8"/>
  <c r="P78" i="8" l="1"/>
  <c r="P79" i="8" s="1"/>
  <c r="P80" i="8" l="1"/>
  <c r="P81" i="8" s="1"/>
  <c r="Q43" i="8"/>
  <c r="Q77" i="8"/>
  <c r="Q50" i="8" l="1"/>
  <c r="Q51" i="8" s="1"/>
  <c r="Q52" i="8" s="1"/>
  <c r="Q55" i="8" s="1"/>
  <c r="Q56" i="8" s="1"/>
  <c r="Q44" i="8"/>
  <c r="Q78" i="8" l="1"/>
  <c r="Q79" i="8" s="1"/>
  <c r="R43" i="8" l="1"/>
  <c r="R77" i="8"/>
  <c r="Q80" i="8"/>
  <c r="Q81" i="8" s="1"/>
  <c r="R50" i="8" l="1"/>
  <c r="R51" i="8" s="1"/>
  <c r="R52" i="8" s="1"/>
  <c r="R55" i="8" s="1"/>
  <c r="R56" i="8" s="1"/>
  <c r="R44" i="8"/>
  <c r="R78" i="8" l="1"/>
  <c r="R79" i="8" s="1"/>
  <c r="R80" i="8" l="1"/>
  <c r="R81" i="8" s="1"/>
  <c r="S43" i="8"/>
  <c r="S77" i="8"/>
  <c r="S44" i="8" l="1"/>
  <c r="S50" i="8"/>
  <c r="S51" i="8" s="1"/>
  <c r="S52" i="8" s="1"/>
  <c r="S55" i="8" s="1"/>
  <c r="S56" i="8" s="1"/>
  <c r="S78" i="8" l="1"/>
  <c r="S79" i="8" s="1"/>
  <c r="S80" i="8" l="1"/>
  <c r="S81" i="8" s="1"/>
  <c r="T43" i="8"/>
  <c r="T77" i="8"/>
  <c r="T44" i="8" l="1"/>
  <c r="T50" i="8"/>
  <c r="T51" i="8" s="1"/>
  <c r="T52" i="8" s="1"/>
  <c r="T55" i="8" s="1"/>
  <c r="T56" i="8" s="1"/>
  <c r="T78" i="8" l="1"/>
  <c r="T79" i="8" s="1"/>
  <c r="U43" i="8" l="1"/>
  <c r="T80" i="8"/>
  <c r="T81" i="8" s="1"/>
  <c r="U77" i="8"/>
  <c r="U50" i="8" l="1"/>
  <c r="U51" i="8" s="1"/>
  <c r="U52" i="8" s="1"/>
  <c r="U55" i="8" s="1"/>
  <c r="U56" i="8" s="1"/>
  <c r="U44" i="8"/>
  <c r="U78" i="8" l="1"/>
  <c r="U79" i="8" s="1"/>
  <c r="U80" i="8" l="1"/>
  <c r="U81" i="8" s="1"/>
  <c r="V43" i="8"/>
  <c r="V77" i="8"/>
  <c r="V50" i="8" l="1"/>
  <c r="V51" i="8" s="1"/>
  <c r="V52" i="8" s="1"/>
  <c r="V55" i="8" s="1"/>
  <c r="V56" i="8" s="1"/>
  <c r="V44" i="8"/>
  <c r="V78" i="8" l="1"/>
  <c r="V79" i="8" s="1"/>
  <c r="V80" i="8" l="1"/>
  <c r="V81" i="8" s="1"/>
  <c r="W43" i="8"/>
  <c r="W77" i="8"/>
  <c r="W44" i="8" l="1"/>
  <c r="W50" i="8"/>
  <c r="W51" i="8" s="1"/>
  <c r="W52" i="8" s="1"/>
  <c r="W55" i="8" s="1"/>
  <c r="W56" i="8" s="1"/>
  <c r="W78" i="8" l="1"/>
  <c r="W79" i="8" s="1"/>
  <c r="X43" i="8" l="1"/>
  <c r="W80" i="8"/>
  <c r="W81" i="8" s="1"/>
  <c r="X77" i="8"/>
  <c r="X50" i="8" l="1"/>
  <c r="X51" i="8" s="1"/>
  <c r="X52" i="8" s="1"/>
  <c r="X55" i="8" s="1"/>
  <c r="X56" i="8" s="1"/>
  <c r="X44" i="8"/>
  <c r="X78" i="8" l="1"/>
  <c r="X79" i="8" s="1"/>
  <c r="X80" i="8" l="1"/>
  <c r="X81" i="8" s="1"/>
  <c r="Y43" i="8"/>
  <c r="Y77" i="8"/>
  <c r="Y44" i="8" l="1"/>
  <c r="Y50" i="8"/>
  <c r="Y51" i="8" s="1"/>
  <c r="Y52" i="8" s="1"/>
  <c r="Y55" i="8" s="1"/>
  <c r="Y56" i="8" s="1"/>
  <c r="Y78" i="8" l="1"/>
  <c r="Y79" i="8" s="1"/>
  <c r="Y80" i="8" l="1"/>
  <c r="Y81" i="8" s="1"/>
  <c r="Z43" i="8"/>
  <c r="Z77" i="8"/>
  <c r="Z50" i="8" l="1"/>
  <c r="Z51" i="8" s="1"/>
  <c r="Z52" i="8" s="1"/>
  <c r="Z44" i="8"/>
  <c r="Z78" i="8" l="1"/>
  <c r="Z79" i="8" s="1"/>
  <c r="Z55" i="8"/>
  <c r="Z56" i="8" s="1"/>
  <c r="Z80" i="8" l="1"/>
  <c r="Z81" i="8" s="1"/>
  <c r="AA77" i="8"/>
  <c r="AA43" i="8"/>
  <c r="AA50" i="8" l="1"/>
  <c r="AA51" i="8" s="1"/>
  <c r="AA52" i="8" s="1"/>
  <c r="AA55" i="8" s="1"/>
  <c r="AA56" i="8" s="1"/>
  <c r="AA44" i="8"/>
  <c r="AA78" i="8" l="1"/>
  <c r="AA79" i="8" s="1"/>
  <c r="AA80" i="8" l="1"/>
  <c r="AA81" i="8" s="1"/>
  <c r="AB43" i="8"/>
  <c r="AB77" i="8"/>
  <c r="AB50" i="8" l="1"/>
  <c r="AB51" i="8" s="1"/>
  <c r="AB52" i="8" s="1"/>
  <c r="AB55" i="8" s="1"/>
  <c r="AB56" i="8" s="1"/>
  <c r="AB44" i="8"/>
  <c r="AB78" i="8" l="1"/>
  <c r="AB79" i="8" s="1"/>
  <c r="AC43" i="8" l="1"/>
  <c r="AC77" i="8"/>
  <c r="AB80" i="8"/>
  <c r="AB81" i="8" s="1"/>
  <c r="AC50" i="8" l="1"/>
  <c r="AC51" i="8" s="1"/>
  <c r="AC52" i="8" s="1"/>
  <c r="AC55" i="8" s="1"/>
  <c r="AC56" i="8" s="1"/>
  <c r="AC44" i="8"/>
  <c r="AC78" i="8" l="1"/>
  <c r="AC79" i="8" s="1"/>
  <c r="AD77" i="8" l="1"/>
  <c r="AD43" i="8"/>
  <c r="AC80" i="8"/>
  <c r="AC81" i="8" s="1"/>
  <c r="AD50" i="8" l="1"/>
  <c r="AD51" i="8" s="1"/>
  <c r="AD52" i="8" s="1"/>
  <c r="AD55" i="8" s="1"/>
  <c r="AD56" i="8" s="1"/>
  <c r="AD44" i="8"/>
  <c r="AD78" i="8" l="1"/>
  <c r="AD79" i="8" s="1"/>
  <c r="AD80" i="8" l="1"/>
  <c r="AD81" i="8" s="1"/>
  <c r="AE43" i="8"/>
  <c r="AE77" i="8"/>
  <c r="AE44" i="8" l="1"/>
  <c r="AE50" i="8"/>
  <c r="AE51" i="8" s="1"/>
  <c r="AE52" i="8" s="1"/>
  <c r="AE55" i="8" s="1"/>
  <c r="AE56" i="8" s="1"/>
  <c r="AE78" i="8" l="1"/>
  <c r="AE79" i="8" s="1"/>
  <c r="AE80" i="8" l="1"/>
  <c r="AE81" i="8" s="1"/>
  <c r="AF43" i="8"/>
  <c r="AF77" i="8"/>
  <c r="AF44" i="8" l="1"/>
  <c r="AF50" i="8"/>
  <c r="AF51" i="8" s="1"/>
  <c r="AF52" i="8" s="1"/>
  <c r="AF55" i="8" s="1"/>
  <c r="AF56" i="8" s="1"/>
  <c r="AF78" i="8" l="1"/>
  <c r="AF79" i="8" s="1"/>
  <c r="AF80" i="8" l="1"/>
  <c r="AF81" i="8" s="1"/>
  <c r="AG77" i="8"/>
  <c r="AG43" i="8"/>
  <c r="AG50" i="8" l="1"/>
  <c r="AG51" i="8" s="1"/>
  <c r="AG52" i="8" s="1"/>
  <c r="AG55" i="8" s="1"/>
  <c r="AG56" i="8" s="1"/>
  <c r="AG44" i="8"/>
  <c r="AG78" i="8" l="1"/>
  <c r="AG79" i="8" s="1"/>
  <c r="AH77" i="8" l="1"/>
  <c r="AH43" i="8"/>
  <c r="AG80" i="8"/>
  <c r="AG81" i="8" s="1"/>
  <c r="AH50" i="8" l="1"/>
  <c r="AH51" i="8" s="1"/>
  <c r="AH52" i="8" s="1"/>
  <c r="AH55" i="8" s="1"/>
  <c r="AH56" i="8" s="1"/>
  <c r="AH44" i="8"/>
  <c r="AH78" i="8" l="1"/>
  <c r="AH79" i="8" s="1"/>
  <c r="AH80" i="8" l="1"/>
  <c r="AH81" i="8" s="1"/>
  <c r="AI43" i="8"/>
  <c r="AI77" i="8"/>
  <c r="AI44" i="8" l="1"/>
  <c r="AI50" i="8"/>
  <c r="AI51" i="8" s="1"/>
  <c r="AI52" i="8" s="1"/>
  <c r="AI55" i="8" s="1"/>
  <c r="AI56" i="8" s="1"/>
  <c r="AI78" i="8" l="1"/>
  <c r="AI79" i="8" s="1"/>
  <c r="AI80" i="8" l="1"/>
  <c r="AI81" i="8" s="1"/>
  <c r="AJ43" i="8"/>
  <c r="AJ77" i="8"/>
  <c r="AJ50" i="8" l="1"/>
  <c r="AJ51" i="8" s="1"/>
  <c r="AJ52" i="8" s="1"/>
  <c r="AJ55" i="8" s="1"/>
  <c r="AJ56" i="8" s="1"/>
  <c r="AJ44" i="8"/>
  <c r="AJ78" i="8" l="1"/>
  <c r="AJ79" i="8" s="1"/>
  <c r="AK77" i="8" l="1"/>
  <c r="AK43" i="8"/>
  <c r="AJ80" i="8"/>
  <c r="AJ81" i="8" s="1"/>
  <c r="AK44" i="8" l="1"/>
  <c r="AK50" i="8"/>
  <c r="AK51" i="8" s="1"/>
  <c r="AK52" i="8" s="1"/>
  <c r="AK55" i="8" s="1"/>
  <c r="AK56" i="8" s="1"/>
  <c r="AK78" i="8" l="1"/>
  <c r="AK79" i="8" s="1"/>
  <c r="AL43" i="8" l="1"/>
  <c r="AL77" i="8"/>
  <c r="AK80" i="8"/>
  <c r="AK81" i="8" s="1"/>
  <c r="G3" i="8" a="1"/>
  <c r="G3" i="8" s="1"/>
  <c r="H87" i="8" l="1"/>
  <c r="G2" i="8"/>
  <c r="G6" i="8" s="1"/>
  <c r="AL50" i="8"/>
  <c r="AL51" i="8" s="1"/>
  <c r="AL52" i="8" s="1"/>
  <c r="AL44" i="8"/>
  <c r="AS71" i="8" l="1"/>
  <c r="AM72" i="8"/>
  <c r="AU72" i="8"/>
  <c r="AL71" i="8"/>
  <c r="AT71" i="8"/>
  <c r="AN72" i="8"/>
  <c r="AM71" i="8"/>
  <c r="AU71" i="8"/>
  <c r="AO72" i="8"/>
  <c r="AO71" i="8"/>
  <c r="AQ72" i="8"/>
  <c r="AR71" i="8"/>
  <c r="AN71" i="8"/>
  <c r="AP72" i="8"/>
  <c r="AT72" i="8"/>
  <c r="AP71" i="8"/>
  <c r="AR72" i="8"/>
  <c r="AQ71" i="8"/>
  <c r="AS72" i="8"/>
  <c r="AL72" i="8"/>
  <c r="AL78" i="8"/>
  <c r="AL79" i="8" s="1"/>
  <c r="AE24" i="8"/>
  <c r="AU57" i="8"/>
  <c r="AU24" i="8"/>
  <c r="AC24" i="8"/>
  <c r="AG24" i="8"/>
  <c r="L24" i="8"/>
  <c r="AO24" i="8"/>
  <c r="T24" i="8"/>
  <c r="W24" i="8"/>
  <c r="AH24" i="8"/>
  <c r="AI24" i="8"/>
  <c r="P24" i="8"/>
  <c r="AP24" i="8"/>
  <c r="AD24" i="8"/>
  <c r="AT24" i="8"/>
  <c r="J24" i="8"/>
  <c r="AB24" i="8"/>
  <c r="AL24" i="8"/>
  <c r="AQ57" i="8"/>
  <c r="AQ24" i="8"/>
  <c r="AM57" i="8"/>
  <c r="AL57" i="8"/>
  <c r="AA24" i="8"/>
  <c r="Z24" i="8"/>
  <c r="AK24" i="8"/>
  <c r="Y24" i="8"/>
  <c r="Q24" i="8"/>
  <c r="AP57" i="8"/>
  <c r="AN24" i="8"/>
  <c r="S24" i="8"/>
  <c r="R24" i="8"/>
  <c r="AF24" i="8"/>
  <c r="H24" i="8"/>
  <c r="H69" i="8"/>
  <c r="I69" i="8" s="1"/>
  <c r="J69" i="8" s="1"/>
  <c r="K69" i="8" s="1"/>
  <c r="L69" i="8" s="1"/>
  <c r="M69" i="8" s="1"/>
  <c r="N69" i="8" s="1"/>
  <c r="O69" i="8" s="1"/>
  <c r="P69" i="8" s="1"/>
  <c r="Q69" i="8" s="1"/>
  <c r="R69" i="8" s="1"/>
  <c r="S69" i="8" s="1"/>
  <c r="T69" i="8" s="1"/>
  <c r="U69" i="8" s="1"/>
  <c r="V69" i="8" s="1"/>
  <c r="W69" i="8" s="1"/>
  <c r="X69" i="8" s="1"/>
  <c r="Y69" i="8" s="1"/>
  <c r="Z69" i="8" s="1"/>
  <c r="AA69" i="8" s="1"/>
  <c r="AB69" i="8" s="1"/>
  <c r="AC69" i="8" s="1"/>
  <c r="AD69" i="8" s="1"/>
  <c r="AE69" i="8" s="1"/>
  <c r="AF69" i="8" s="1"/>
  <c r="AG69" i="8" s="1"/>
  <c r="AH69" i="8" s="1"/>
  <c r="AI69" i="8" s="1"/>
  <c r="AJ69" i="8" s="1"/>
  <c r="AK69" i="8" s="1"/>
  <c r="AT70" i="8"/>
  <c r="AS69" i="8"/>
  <c r="AN70" i="8"/>
  <c r="AO70" i="8"/>
  <c r="G11" i="8"/>
  <c r="G12" i="8" s="1"/>
  <c r="O24" i="8"/>
  <c r="AN57" i="8"/>
  <c r="X24" i="8"/>
  <c r="V24" i="8"/>
  <c r="AO69" i="8"/>
  <c r="M24" i="8"/>
  <c r="AP70" i="8"/>
  <c r="AL70" i="8"/>
  <c r="AO57" i="8"/>
  <c r="U24" i="8"/>
  <c r="AL69" i="8"/>
  <c r="AM70" i="8"/>
  <c r="AP69" i="8"/>
  <c r="AS24" i="8"/>
  <c r="C9" i="11"/>
  <c r="AN69" i="8"/>
  <c r="AR70" i="8"/>
  <c r="AU70" i="8"/>
  <c r="AJ24" i="8"/>
  <c r="AR57" i="8"/>
  <c r="N24" i="8"/>
  <c r="AR24" i="8"/>
  <c r="K24" i="8"/>
  <c r="AS70" i="8"/>
  <c r="AQ69" i="8"/>
  <c r="AU69" i="8"/>
  <c r="I24" i="8"/>
  <c r="AT69" i="8"/>
  <c r="AS57" i="8"/>
  <c r="AT57" i="8"/>
  <c r="AQ70" i="8"/>
  <c r="AM24" i="8"/>
  <c r="AR69" i="8"/>
  <c r="AM69" i="8"/>
  <c r="AR45" i="8" l="1"/>
  <c r="AR25" i="8"/>
  <c r="AN58" i="8"/>
  <c r="AN59" i="8"/>
  <c r="AF45" i="8"/>
  <c r="AF25" i="8"/>
  <c r="AF57" i="8" s="1"/>
  <c r="AF58" i="8" s="1"/>
  <c r="AF46" i="8"/>
  <c r="AF47" i="8" s="1"/>
  <c r="Q45" i="8"/>
  <c r="Q25" i="8"/>
  <c r="Q57" i="8" s="1"/>
  <c r="Q46" i="8"/>
  <c r="Q47" i="8" s="1"/>
  <c r="AM58" i="8"/>
  <c r="AM59" i="8"/>
  <c r="J25" i="8"/>
  <c r="J57" i="8" s="1"/>
  <c r="J45" i="8"/>
  <c r="J46" i="8"/>
  <c r="J47" i="8" s="1"/>
  <c r="T45" i="8"/>
  <c r="T25" i="8"/>
  <c r="T57" i="8" s="1"/>
  <c r="T46" i="8"/>
  <c r="T47" i="8" s="1"/>
  <c r="AU59" i="8"/>
  <c r="AU58" i="8"/>
  <c r="AS58" i="8"/>
  <c r="AS59" i="8"/>
  <c r="N45" i="8"/>
  <c r="N25" i="8"/>
  <c r="N57" i="8" s="1"/>
  <c r="N46" i="8"/>
  <c r="N47" i="8" s="1"/>
  <c r="R25" i="8"/>
  <c r="R57" i="8" s="1"/>
  <c r="R45" i="8"/>
  <c r="R46" i="8"/>
  <c r="R47" i="8" s="1"/>
  <c r="AQ45" i="8"/>
  <c r="AQ25" i="8"/>
  <c r="AT45" i="8"/>
  <c r="AT25" i="8"/>
  <c r="AR58" i="8"/>
  <c r="AR59" i="8"/>
  <c r="AO58" i="8"/>
  <c r="AO59" i="8"/>
  <c r="M25" i="8"/>
  <c r="M57" i="8" s="1"/>
  <c r="M45" i="8"/>
  <c r="M46" i="8"/>
  <c r="M47" i="8" s="1"/>
  <c r="O25" i="8"/>
  <c r="O57" i="8" s="1"/>
  <c r="O45" i="8"/>
  <c r="O46" i="8"/>
  <c r="O47" i="8" s="1"/>
  <c r="Y25" i="8"/>
  <c r="Y57" i="8" s="1"/>
  <c r="Y45" i="8"/>
  <c r="Y46" i="8"/>
  <c r="Y47" i="8" s="1"/>
  <c r="AQ58" i="8"/>
  <c r="AQ59" i="8"/>
  <c r="AD25" i="8"/>
  <c r="AD57" i="8" s="1"/>
  <c r="AD58" i="8" s="1"/>
  <c r="AD45" i="8"/>
  <c r="AD46" i="8"/>
  <c r="AD47" i="8" s="1"/>
  <c r="AO45" i="8"/>
  <c r="AO25" i="8"/>
  <c r="I45" i="8"/>
  <c r="I25" i="8"/>
  <c r="I57" i="8" s="1"/>
  <c r="I46" i="8"/>
  <c r="I47" i="8" s="1"/>
  <c r="AL58" i="8"/>
  <c r="AL59" i="8"/>
  <c r="S45" i="8"/>
  <c r="S25" i="8"/>
  <c r="S57" i="8" s="1"/>
  <c r="S46" i="8"/>
  <c r="S47" i="8" s="1"/>
  <c r="AL45" i="8"/>
  <c r="AL25" i="8"/>
  <c r="AP25" i="8"/>
  <c r="AP45" i="8"/>
  <c r="L25" i="8"/>
  <c r="L57" i="8" s="1"/>
  <c r="L45" i="8"/>
  <c r="L46" i="8"/>
  <c r="L47" i="8" s="1"/>
  <c r="AE45" i="8"/>
  <c r="AE25" i="8"/>
  <c r="AE57" i="8" s="1"/>
  <c r="AE59" i="8" s="1"/>
  <c r="AE71" i="8" s="1"/>
  <c r="AE72" i="8" s="1"/>
  <c r="AE46" i="8"/>
  <c r="AE47" i="8" s="1"/>
  <c r="AN25" i="8"/>
  <c r="AN45" i="8"/>
  <c r="AK45" i="8"/>
  <c r="AK25" i="8"/>
  <c r="AK57" i="8" s="1"/>
  <c r="AK59" i="8" s="1"/>
  <c r="AK71" i="8" s="1"/>
  <c r="AK72" i="8" s="1"/>
  <c r="AK46" i="8"/>
  <c r="AK47" i="8" s="1"/>
  <c r="P45" i="8"/>
  <c r="P25" i="8"/>
  <c r="P57" i="8" s="1"/>
  <c r="P46" i="8"/>
  <c r="P47" i="8" s="1"/>
  <c r="AG45" i="8"/>
  <c r="AG25" i="8"/>
  <c r="AG57" i="8" s="1"/>
  <c r="AG58" i="8" s="1"/>
  <c r="AG46" i="8"/>
  <c r="AG47" i="8" s="1"/>
  <c r="X25" i="8"/>
  <c r="X57" i="8" s="1"/>
  <c r="X45" i="8"/>
  <c r="X46" i="8"/>
  <c r="X47" i="8" s="1"/>
  <c r="AJ25" i="8"/>
  <c r="AJ57" i="8" s="1"/>
  <c r="AJ59" i="8" s="1"/>
  <c r="AJ71" i="8" s="1"/>
  <c r="AJ72" i="8" s="1"/>
  <c r="AJ45" i="8"/>
  <c r="AJ46" i="8"/>
  <c r="AJ47" i="8" s="1"/>
  <c r="AS45" i="8"/>
  <c r="AS25" i="8"/>
  <c r="V45" i="8"/>
  <c r="V25" i="8"/>
  <c r="V57" i="8" s="1"/>
  <c r="V46" i="8"/>
  <c r="V47" i="8" s="1"/>
  <c r="Z45" i="8"/>
  <c r="Z25" i="8"/>
  <c r="Z57" i="8" s="1"/>
  <c r="Z58" i="8" s="1"/>
  <c r="Z46" i="8"/>
  <c r="Z47" i="8" s="1"/>
  <c r="AB25" i="8"/>
  <c r="AB57" i="8" s="1"/>
  <c r="AB58" i="8" s="1"/>
  <c r="X5" i="28" s="1"/>
  <c r="Y8" i="28" s="1"/>
  <c r="Y9" i="28" s="1"/>
  <c r="AB45" i="8"/>
  <c r="AB46" i="8"/>
  <c r="AB47" i="8" s="1"/>
  <c r="AI25" i="8"/>
  <c r="AI57" i="8" s="1"/>
  <c r="AI59" i="8" s="1"/>
  <c r="AI71" i="8" s="1"/>
  <c r="AI72" i="8" s="1"/>
  <c r="AI45" i="8"/>
  <c r="AI46" i="8"/>
  <c r="AI47" i="8" s="1"/>
  <c r="AC25" i="8"/>
  <c r="AC57" i="8" s="1"/>
  <c r="AC58" i="8" s="1"/>
  <c r="AC45" i="8"/>
  <c r="AC46" i="8"/>
  <c r="AC47" i="8" s="1"/>
  <c r="AM77" i="8"/>
  <c r="AM43" i="8"/>
  <c r="AL80" i="8"/>
  <c r="AL81" i="8" s="1"/>
  <c r="W25" i="8"/>
  <c r="W57" i="8" s="1"/>
  <c r="W45" i="8"/>
  <c r="W46" i="8"/>
  <c r="W47" i="8" s="1"/>
  <c r="AM25" i="8"/>
  <c r="AM45" i="8"/>
  <c r="AT58" i="8"/>
  <c r="AT59" i="8"/>
  <c r="K25" i="8"/>
  <c r="K57" i="8" s="1"/>
  <c r="K45" i="8"/>
  <c r="K46" i="8"/>
  <c r="K47" i="8" s="1"/>
  <c r="U45" i="8"/>
  <c r="U25" i="8"/>
  <c r="U57" i="8" s="1"/>
  <c r="U46" i="8"/>
  <c r="U47" i="8" s="1"/>
  <c r="H25" i="8"/>
  <c r="H57" i="8" s="1"/>
  <c r="H45" i="8"/>
  <c r="H46" i="8"/>
  <c r="AP58" i="8"/>
  <c r="AP59" i="8"/>
  <c r="AA25" i="8"/>
  <c r="AA57" i="8" s="1"/>
  <c r="AA59" i="8" s="1"/>
  <c r="AA71" i="8" s="1"/>
  <c r="AA72" i="8" s="1"/>
  <c r="AA45" i="8"/>
  <c r="AA46" i="8"/>
  <c r="AA47" i="8" s="1"/>
  <c r="AH45" i="8"/>
  <c r="AH25" i="8"/>
  <c r="AH57" i="8" s="1"/>
  <c r="AH58" i="8" s="1"/>
  <c r="AH46" i="8"/>
  <c r="AH47" i="8" s="1"/>
  <c r="AU45" i="8"/>
  <c r="AU25" i="8"/>
  <c r="AL46" i="8"/>
  <c r="AL47" i="8" s="1"/>
  <c r="AF59" i="8" l="1"/>
  <c r="AF71" i="8" s="1"/>
  <c r="AF72" i="8" s="1"/>
  <c r="AJ58" i="8"/>
  <c r="AD59" i="8"/>
  <c r="AD71" i="8" s="1"/>
  <c r="AD72" i="8" s="1"/>
  <c r="AH59" i="8"/>
  <c r="AH71" i="8" s="1"/>
  <c r="AH72" i="8" s="1"/>
  <c r="AB5" i="28"/>
  <c r="AC8" i="28" s="1"/>
  <c r="AC9" i="28" s="1"/>
  <c r="AG59" i="8"/>
  <c r="AG71" i="8" s="1"/>
  <c r="AG72" i="8" s="1"/>
  <c r="AI58" i="8"/>
  <c r="Z5" i="28"/>
  <c r="AA8" i="28" s="1"/>
  <c r="AA9" i="28" s="1"/>
  <c r="AK58" i="8"/>
  <c r="AE58" i="8"/>
  <c r="AB59" i="8"/>
  <c r="AB71" i="8" s="1"/>
  <c r="AB72" i="8" s="1"/>
  <c r="V5" i="28"/>
  <c r="W8" i="28" s="1"/>
  <c r="W9" i="28" s="1"/>
  <c r="Y5" i="28"/>
  <c r="Z8" i="28" s="1"/>
  <c r="Z9" i="28" s="1"/>
  <c r="AA58" i="8"/>
  <c r="AC59" i="8"/>
  <c r="AC71" i="8" s="1"/>
  <c r="AC72" i="8" s="1"/>
  <c r="Z59" i="8"/>
  <c r="Z71" i="8" s="1"/>
  <c r="Z72" i="8" s="1"/>
  <c r="U59" i="8"/>
  <c r="U71" i="8" s="1"/>
  <c r="U72" i="8" s="1"/>
  <c r="U58" i="8"/>
  <c r="J59" i="8"/>
  <c r="J71" i="8" s="1"/>
  <c r="J72" i="8" s="1"/>
  <c r="J58" i="8"/>
  <c r="I59" i="8"/>
  <c r="I71" i="8" s="1"/>
  <c r="I72" i="8" s="1"/>
  <c r="I58" i="8"/>
  <c r="R59" i="8"/>
  <c r="R71" i="8" s="1"/>
  <c r="R72" i="8" s="1"/>
  <c r="R58" i="8"/>
  <c r="W58" i="8"/>
  <c r="W59" i="8"/>
  <c r="W71" i="8" s="1"/>
  <c r="W72" i="8" s="1"/>
  <c r="P58" i="8"/>
  <c r="P59" i="8"/>
  <c r="P71" i="8" s="1"/>
  <c r="P72" i="8" s="1"/>
  <c r="S59" i="8"/>
  <c r="S71" i="8" s="1"/>
  <c r="S72" i="8" s="1"/>
  <c r="S58" i="8"/>
  <c r="M58" i="8"/>
  <c r="M59" i="8"/>
  <c r="M71" i="8" s="1"/>
  <c r="M72" i="8" s="1"/>
  <c r="H47" i="8"/>
  <c r="G10" i="8" s="1"/>
  <c r="K59" i="8"/>
  <c r="K71" i="8" s="1"/>
  <c r="K72" i="8" s="1"/>
  <c r="K58" i="8"/>
  <c r="O58" i="8"/>
  <c r="O59" i="8"/>
  <c r="O71" i="8" s="1"/>
  <c r="O72" i="8" s="1"/>
  <c r="L59" i="8"/>
  <c r="L71" i="8" s="1"/>
  <c r="L72" i="8" s="1"/>
  <c r="L58" i="8"/>
  <c r="Y58" i="8"/>
  <c r="Y59" i="8"/>
  <c r="Y71" i="8" s="1"/>
  <c r="Y72" i="8" s="1"/>
  <c r="T58" i="8"/>
  <c r="T59" i="8"/>
  <c r="T71" i="8" s="1"/>
  <c r="T72" i="8" s="1"/>
  <c r="Q59" i="8"/>
  <c r="Q71" i="8" s="1"/>
  <c r="Q72" i="8" s="1"/>
  <c r="Q58" i="8"/>
  <c r="H59" i="8"/>
  <c r="H71" i="8" s="1"/>
  <c r="H72" i="8" s="1"/>
  <c r="H58" i="8"/>
  <c r="H70" i="8" s="1"/>
  <c r="AM50" i="8"/>
  <c r="AM51" i="8" s="1"/>
  <c r="AM52" i="8" s="1"/>
  <c r="AM44" i="8"/>
  <c r="X58" i="8"/>
  <c r="X59" i="8"/>
  <c r="X71" i="8" s="1"/>
  <c r="X72" i="8" s="1"/>
  <c r="N58" i="8"/>
  <c r="N59" i="8"/>
  <c r="N71" i="8" s="1"/>
  <c r="N72" i="8" s="1"/>
  <c r="V59" i="8"/>
  <c r="V71" i="8" s="1"/>
  <c r="V72" i="8" s="1"/>
  <c r="V58" i="8"/>
  <c r="AA5" i="28" l="1"/>
  <c r="AB8" i="28" s="1"/>
  <c r="AB9" i="28" s="1"/>
  <c r="W5" i="28"/>
  <c r="X8" i="28" s="1"/>
  <c r="X9" i="28" s="1"/>
  <c r="M5" i="28"/>
  <c r="N8" i="28" s="1"/>
  <c r="N9" i="28" s="1"/>
  <c r="O5" i="28"/>
  <c r="P8" i="28" s="1"/>
  <c r="P9" i="28" s="1"/>
  <c r="E5" i="28"/>
  <c r="F8" i="28" s="1"/>
  <c r="F9" i="28" s="1"/>
  <c r="L5" i="28"/>
  <c r="M8" i="28" s="1"/>
  <c r="M9" i="28" s="1"/>
  <c r="F5" i="28"/>
  <c r="G8" i="28" s="1"/>
  <c r="G9" i="28" s="1"/>
  <c r="R5" i="28"/>
  <c r="S8" i="28" s="1"/>
  <c r="S9" i="28" s="1"/>
  <c r="K5" i="28"/>
  <c r="L8" i="28" s="1"/>
  <c r="L9" i="28" s="1"/>
  <c r="T5" i="28"/>
  <c r="U8" i="28" s="1"/>
  <c r="U9" i="28" s="1"/>
  <c r="P5" i="28"/>
  <c r="Q8" i="28" s="1"/>
  <c r="Q9" i="28" s="1"/>
  <c r="U5" i="28"/>
  <c r="V8" i="28" s="1"/>
  <c r="V9" i="28" s="1"/>
  <c r="G5" i="28"/>
  <c r="H8" i="28" s="1"/>
  <c r="H9" i="28" s="1"/>
  <c r="AM46" i="8"/>
  <c r="AM47" i="8" s="1"/>
  <c r="AM78" i="8"/>
  <c r="AM79" i="8" s="1"/>
  <c r="J5" i="28"/>
  <c r="K8" i="28" s="1"/>
  <c r="K9" i="28" s="1"/>
  <c r="D5" i="28"/>
  <c r="E8" i="28" s="1"/>
  <c r="E9" i="28" s="1"/>
  <c r="E10" i="28" s="1"/>
  <c r="H5" i="28"/>
  <c r="I8" i="28" s="1"/>
  <c r="I9" i="28" s="1"/>
  <c r="S5" i="28"/>
  <c r="T8" i="28" s="1"/>
  <c r="T9" i="28" s="1"/>
  <c r="Q5" i="28"/>
  <c r="R8" i="28" s="1"/>
  <c r="R9" i="28" s="1"/>
  <c r="G8" i="8"/>
  <c r="I5" i="28"/>
  <c r="J8" i="28" s="1"/>
  <c r="J9" i="28" s="1"/>
  <c r="N5" i="28"/>
  <c r="O8" i="28" s="1"/>
  <c r="O9" i="28" s="1"/>
  <c r="E12" i="28" l="1"/>
  <c r="E13" i="28" s="1"/>
  <c r="E15" i="28" s="1"/>
  <c r="E11" i="28"/>
  <c r="F10" i="28"/>
  <c r="G10" i="28" s="1"/>
  <c r="I70" i="8"/>
  <c r="J70" i="8" s="1"/>
  <c r="K70" i="8" s="1"/>
  <c r="L70" i="8" s="1"/>
  <c r="M70" i="8" s="1"/>
  <c r="N70" i="8" s="1"/>
  <c r="O70" i="8" s="1"/>
  <c r="P70" i="8" s="1"/>
  <c r="Q70" i="8" s="1"/>
  <c r="R70" i="8" s="1"/>
  <c r="S70" i="8" s="1"/>
  <c r="T70" i="8" s="1"/>
  <c r="U70" i="8" s="1"/>
  <c r="V70" i="8" s="1"/>
  <c r="W70" i="8" s="1"/>
  <c r="X70" i="8" s="1"/>
  <c r="Y70" i="8" s="1"/>
  <c r="Z70" i="8" s="1"/>
  <c r="AA70" i="8" s="1"/>
  <c r="AB70" i="8" s="1"/>
  <c r="AC70" i="8" s="1"/>
  <c r="AD70" i="8" s="1"/>
  <c r="AE70" i="8" s="1"/>
  <c r="AF70" i="8" s="1"/>
  <c r="AG70" i="8" s="1"/>
  <c r="AH70" i="8" s="1"/>
  <c r="AI70" i="8" s="1"/>
  <c r="AJ70" i="8" s="1"/>
  <c r="AK70" i="8" s="1"/>
  <c r="AM80" i="8"/>
  <c r="AM81" i="8" s="1"/>
  <c r="AN43" i="8"/>
  <c r="AN77" i="8"/>
  <c r="G12" i="28" l="1"/>
  <c r="G13" i="28" s="1"/>
  <c r="G15" i="28" s="1"/>
  <c r="G11" i="28"/>
  <c r="H10" i="28"/>
  <c r="AN44" i="8"/>
  <c r="AN50" i="8"/>
  <c r="AN51" i="8" s="1"/>
  <c r="AN52" i="8" s="1"/>
  <c r="D10" i="8"/>
  <c r="F11" i="28"/>
  <c r="F12" i="28"/>
  <c r="F13" i="28" s="1"/>
  <c r="F15" i="28" s="1"/>
  <c r="AN46" i="8" l="1"/>
  <c r="AN47" i="8" s="1"/>
  <c r="AN78" i="8"/>
  <c r="AN79" i="8" s="1"/>
  <c r="H12" i="28"/>
  <c r="H13" i="28" s="1"/>
  <c r="H15" i="28" s="1"/>
  <c r="H11" i="28"/>
  <c r="I10" i="28"/>
  <c r="I11" i="28" l="1"/>
  <c r="I12" i="28"/>
  <c r="I13" i="28" s="1"/>
  <c r="I15" i="28" s="1"/>
  <c r="J10" i="28"/>
  <c r="AN80" i="8"/>
  <c r="AN81" i="8" s="1"/>
  <c r="AO77" i="8"/>
  <c r="AO43" i="8"/>
  <c r="AO50" i="8" l="1"/>
  <c r="AO51" i="8" s="1"/>
  <c r="AO52" i="8" s="1"/>
  <c r="AO44" i="8"/>
  <c r="J11" i="28"/>
  <c r="J12" i="28"/>
  <c r="J13" i="28" s="1"/>
  <c r="J15" i="28" s="1"/>
  <c r="K10" i="28"/>
  <c r="K12" i="28" l="1"/>
  <c r="K13" i="28" s="1"/>
  <c r="K15" i="28" s="1"/>
  <c r="K11" i="28"/>
  <c r="L10" i="28"/>
  <c r="AO46" i="8"/>
  <c r="AO47" i="8" s="1"/>
  <c r="AO78" i="8"/>
  <c r="AO79" i="8" s="1"/>
  <c r="AO80" i="8" l="1"/>
  <c r="AO81" i="8" s="1"/>
  <c r="AP77" i="8"/>
  <c r="AP43" i="8"/>
  <c r="L11" i="28"/>
  <c r="L12" i="28"/>
  <c r="L13" i="28" s="1"/>
  <c r="L15" i="28" s="1"/>
  <c r="M10" i="28"/>
  <c r="AP50" i="8" l="1"/>
  <c r="AP51" i="8" s="1"/>
  <c r="AP52" i="8" s="1"/>
  <c r="AP44" i="8"/>
  <c r="M11" i="28"/>
  <c r="M12" i="28"/>
  <c r="M13" i="28" s="1"/>
  <c r="M15" i="28" s="1"/>
  <c r="N10" i="28"/>
  <c r="N12" i="28" l="1"/>
  <c r="N13" i="28" s="1"/>
  <c r="N15" i="28" s="1"/>
  <c r="N11" i="28"/>
  <c r="O10" i="28"/>
  <c r="AP46" i="8"/>
  <c r="AP47" i="8" s="1"/>
  <c r="AP78" i="8"/>
  <c r="AP79" i="8" s="1"/>
  <c r="AP80" i="8" l="1"/>
  <c r="AP81" i="8" s="1"/>
  <c r="AQ77" i="8"/>
  <c r="AQ43" i="8"/>
  <c r="O11" i="28"/>
  <c r="O12" i="28"/>
  <c r="O13" i="28" s="1"/>
  <c r="O15" i="28" s="1"/>
  <c r="P10" i="28"/>
  <c r="P11" i="28" l="1"/>
  <c r="P12" i="28"/>
  <c r="P13" i="28" s="1"/>
  <c r="P15" i="28" s="1"/>
  <c r="Q10" i="28"/>
  <c r="AQ44" i="8"/>
  <c r="AQ50" i="8"/>
  <c r="AQ51" i="8" s="1"/>
  <c r="AQ52" i="8" s="1"/>
  <c r="AQ78" i="8" l="1"/>
  <c r="AQ79" i="8" s="1"/>
  <c r="AQ46" i="8"/>
  <c r="AQ47" i="8" s="1"/>
  <c r="Q11" i="28"/>
  <c r="Q12" i="28"/>
  <c r="Q13" i="28" s="1"/>
  <c r="Q15" i="28" s="1"/>
  <c r="R10" i="28"/>
  <c r="R12" i="28" l="1"/>
  <c r="R13" i="28" s="1"/>
  <c r="R15" i="28" s="1"/>
  <c r="R11" i="28"/>
  <c r="S10" i="28"/>
  <c r="AR43" i="8"/>
  <c r="AR77" i="8"/>
  <c r="AQ80" i="8"/>
  <c r="AQ81" i="8" s="1"/>
  <c r="AR50" i="8" l="1"/>
  <c r="AR51" i="8" s="1"/>
  <c r="AR52" i="8" s="1"/>
  <c r="AR44" i="8"/>
  <c r="S11" i="28"/>
  <c r="S12" i="28"/>
  <c r="S13" i="28" s="1"/>
  <c r="S15" i="28" s="1"/>
  <c r="T10" i="28"/>
  <c r="T11" i="28" l="1"/>
  <c r="T12" i="28"/>
  <c r="T13" i="28" s="1"/>
  <c r="T15" i="28" s="1"/>
  <c r="U10" i="28"/>
  <c r="AR78" i="8"/>
  <c r="AR79" i="8" s="1"/>
  <c r="AR46" i="8"/>
  <c r="AR47" i="8" s="1"/>
  <c r="AS77" i="8" l="1"/>
  <c r="AS43" i="8"/>
  <c r="AR80" i="8"/>
  <c r="AR81" i="8" s="1"/>
  <c r="U12" i="28"/>
  <c r="U13" i="28" s="1"/>
  <c r="U15" i="28" s="1"/>
  <c r="U11" i="28"/>
  <c r="V10" i="28"/>
  <c r="V12" i="28" l="1"/>
  <c r="V13" i="28" s="1"/>
  <c r="V15" i="28" s="1"/>
  <c r="V11" i="28"/>
  <c r="W10" i="28"/>
  <c r="AS50" i="8"/>
  <c r="AS51" i="8" s="1"/>
  <c r="AS52" i="8" s="1"/>
  <c r="AS44" i="8"/>
  <c r="AS46" i="8" l="1"/>
  <c r="AS47" i="8" s="1"/>
  <c r="AS78" i="8"/>
  <c r="AS79" i="8" s="1"/>
  <c r="W11" i="28"/>
  <c r="W12" i="28"/>
  <c r="W13" i="28" s="1"/>
  <c r="W15" i="28" s="1"/>
  <c r="X10" i="28"/>
  <c r="X12" i="28" l="1"/>
  <c r="X13" i="28" s="1"/>
  <c r="X15" i="28" s="1"/>
  <c r="X11" i="28"/>
  <c r="Y10" i="28"/>
  <c r="AS80" i="8"/>
  <c r="AS81" i="8" s="1"/>
  <c r="AT43" i="8"/>
  <c r="AT77" i="8"/>
  <c r="AT50" i="8" l="1"/>
  <c r="AT51" i="8" s="1"/>
  <c r="AT52" i="8" s="1"/>
  <c r="AT44" i="8"/>
  <c r="Y12" i="28"/>
  <c r="Y13" i="28" s="1"/>
  <c r="Y15" i="28" s="1"/>
  <c r="Y11" i="28"/>
  <c r="Z10" i="28"/>
  <c r="AT78" i="8" l="1"/>
  <c r="AT79" i="8" s="1"/>
  <c r="AT46" i="8"/>
  <c r="AT47" i="8" s="1"/>
  <c r="Z12" i="28"/>
  <c r="Z13" i="28" s="1"/>
  <c r="Z15" i="28" s="1"/>
  <c r="Z11" i="28"/>
  <c r="AA10" i="28"/>
  <c r="AA12" i="28" l="1"/>
  <c r="AA13" i="28" s="1"/>
  <c r="AA15" i="28" s="1"/>
  <c r="AA11" i="28"/>
  <c r="AB10" i="28"/>
  <c r="AU43" i="8"/>
  <c r="AU77" i="8"/>
  <c r="AT80" i="8"/>
  <c r="AT81" i="8" s="1"/>
  <c r="AU50" i="8" l="1"/>
  <c r="AU51" i="8" s="1"/>
  <c r="AU52" i="8" s="1"/>
  <c r="AU44" i="8"/>
  <c r="AB11" i="28"/>
  <c r="AB12" i="28"/>
  <c r="AB13" i="28" s="1"/>
  <c r="AB15" i="28" s="1"/>
  <c r="D17" i="28" s="1"/>
  <c r="AC10" i="28"/>
  <c r="AC12" i="28" l="1"/>
  <c r="AC13" i="28" s="1"/>
  <c r="AC15" i="28" s="1"/>
  <c r="AC11" i="28"/>
  <c r="AU46" i="8"/>
  <c r="AU47" i="8" s="1"/>
  <c r="AU78" i="8"/>
  <c r="AU79" i="8" s="1"/>
  <c r="AU80" i="8" l="1"/>
  <c r="AU81" i="8" s="1"/>
  <c r="G5" i="8" s="1"/>
  <c r="G4" i="8" l="1"/>
  <c r="C6" i="11" s="1"/>
  <c r="C7" i="11" s="1"/>
  <c r="C10" i="11" s="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tc={9B21D86C-AA95-42B6-A459-860C4E1FD70F}</author>
    <author>tc={B05D6A55-FE6B-446C-8D51-74DE487F2C04}</author>
    <author>tc={3145177A-8F3B-484D-A417-58C2A73E4191}</author>
    <author>tc={380EC72D-6655-49ED-B5A5-53881D64F121}</author>
  </authors>
  <commentList>
    <comment ref="A3" authorId="0" shapeId="0" xr:uid="{00000000-0006-0000-0200-000001000000}">
      <text>
        <t>[Threaded comment]
Your version of Excel allows you to read this threaded comment; however, any edits to it will get removed if the file is opened in a newer version of Excel. Learn more: https://go.microsoft.com/fwlink/?linkid=870924
Comment:
    this is for the model</t>
      </text>
    </comment>
    <comment ref="D3" authorId="1" shapeId="0" xr:uid="{B05D6A55-FE6B-446C-8D51-74DE487F2C04}">
      <text>
        <t>[Threaded comment]
Your version of Excel allows you to read this threaded comment; however, any edits to it will get removed if the file is opened in a newer version of Excel. Learn more: https://go.microsoft.com/fwlink/?linkid=870924
Comment:
    this goes into site cashflow</t>
      </text>
    </comment>
    <comment ref="E33" authorId="2" shapeId="0" xr:uid="{3145177A-8F3B-484D-A417-58C2A73E4191}">
      <text>
        <t>[Threaded comment]
Your version of Excel allows you to read this threaded comment; however, any edits to it will get removed if the file is opened in a newer version of Excel. Learn more: https://go.microsoft.com/fwlink/?linkid=870924
Comment:
    comes from renewables.ninja model
11.8% from CM-SAF SARAH (Europe) 2015
12.5% from MERRA-2 (global) 2019</t>
      </text>
    </comment>
    <comment ref="A50" authorId="3" shapeId="0" xr:uid="{380EC72D-6655-49ED-B5A5-53881D64F121}">
      <text>
        <t>[Threaded comment]
Your version of Excel allows you to read this threaded comment; however, any edits to it will get removed if the file is opened in a newer version of Excel. Learn more: https://go.microsoft.com/fwlink/?linkid=870924
Comment:
    https://www.theecoexperts.co.uk/solar-panels/what-size-do-i-need#:~:text=Average%20annual%20yield%20from%20solar%20panels,-As%20you%20can&amp;text=A%201kWp%20system%20will%20produce,out%20a%20whopping%203%2C800kWh.</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tc={6B7B7F63-4700-49AE-91F3-F4D0A5F0DCF0}</author>
    <author>tc={527D2383-24AA-4DBE-A055-162000866F05}</author>
  </authors>
  <commentList>
    <comment ref="B5"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review when updaitng the yellow tabs</t>
      </text>
    </comment>
    <comment ref="I8" authorId="1" shapeId="0" xr:uid="{00000000-0006-0000-0300-000002000000}">
      <text>
        <t>[Threaded comment]
Your version of Excel allows you to read this threaded comment; however, any edits to it will get removed if the file is opened in a newer version of Excel. Learn more: https://go.microsoft.com/fwlink/?linkid=870924
Comment:
    this will be the number that will be pointed to for total capital outlay</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tc={62CF51F6-4D4A-45EF-806B-B170E7A32209}</author>
  </authors>
  <commentList>
    <comment ref="G3" authorId="0" shapeId="0" xr:uid="{62CF51F6-4D4A-45EF-806B-B170E7A32209}">
      <text>
        <t>[Threaded comment]
Your version of Excel allows you to read this threaded comment; however, any edits to it will get removed if the file is opened in a newer version of Excel. Learn more: https://go.microsoft.com/fwlink/?linkid=870924
Comment:
    how does this link to battery products?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ruper</author>
    <author>Margaret Sadler</author>
    <author>tc={8148AA2F-D973-4E07-964A-78805B2D47FE}</author>
    <author>tc={0030EF79-D309-4146-A836-DCE8C4D9E7CB}</author>
    <author>tc={0DB91F97-C345-43B8-9196-24E3814076FC}</author>
    <author>tc={8D7AA7B5-E386-4E1A-B3D1-AC31214C8C53}</author>
  </authors>
  <commentList>
    <comment ref="G11" authorId="0" shapeId="0" xr:uid="{D29638D3-D693-4583-A82D-6149E99DA28B}">
      <text>
        <r>
          <rPr>
            <b/>
            <sz val="9"/>
            <color indexed="81"/>
            <rFont val="Tahoma"/>
            <family val="2"/>
          </rPr>
          <t>ruper:</t>
        </r>
        <r>
          <rPr>
            <sz val="9"/>
            <color indexed="81"/>
            <rFont val="Tahoma"/>
            <family val="2"/>
          </rPr>
          <t xml:space="preserve">
can this be a formula reflecting: "if principal repayment made, add the year (row 7) formula?</t>
        </r>
      </text>
    </comment>
    <comment ref="D34" authorId="1" shapeId="0" xr:uid="{00000000-0006-0000-0700-000002000000}">
      <text>
        <r>
          <rPr>
            <b/>
            <sz val="9"/>
            <color indexed="81"/>
            <rFont val="Tahoma"/>
            <family val="2"/>
          </rPr>
          <t>Margaret Sadler:</t>
        </r>
        <r>
          <rPr>
            <sz val="9"/>
            <color indexed="81"/>
            <rFont val="Tahoma"/>
            <family val="2"/>
          </rPr>
          <t xml:space="preserve">
on EFA PC - not linked to anywhere else</t>
        </r>
      </text>
    </comment>
    <comment ref="E40" authorId="2" shapeId="0" xr:uid="{00000000-0006-0000-0700-000003000000}">
      <text>
        <t>[Threaded comment]
Your version of Excel allows you to read this threaded comment; however, any edits to it will get removed if the file is opened in a newer version of Excel. Learn more: https://go.microsoft.com/fwlink/?linkid=870924
Comment:
    ***as this is the reverse of the net savings to customers this needs more discount
***integers also to include 100% to 0% ... this then helps with modeling the savings we can provide</t>
      </text>
    </comment>
    <comment ref="D50" authorId="1" shapeId="0" xr:uid="{00000000-0006-0000-0700-000004000000}">
      <text>
        <r>
          <rPr>
            <b/>
            <sz val="9"/>
            <color indexed="81"/>
            <rFont val="Tahoma"/>
            <family val="2"/>
          </rPr>
          <t>Margaret Sadler:</t>
        </r>
        <r>
          <rPr>
            <sz val="9"/>
            <color indexed="81"/>
            <rFont val="Tahoma"/>
            <family val="2"/>
          </rPr>
          <t xml:space="preserve">
on EFA PC - not feeding anywhere else</t>
        </r>
      </text>
    </comment>
    <comment ref="D51" authorId="1" shapeId="0" xr:uid="{00000000-0006-0000-0700-000005000000}">
      <text>
        <r>
          <rPr>
            <b/>
            <sz val="9"/>
            <color indexed="81"/>
            <rFont val="Tahoma"/>
            <family val="2"/>
          </rPr>
          <t>Margaret Sadler:</t>
        </r>
        <r>
          <rPr>
            <sz val="9"/>
            <color indexed="81"/>
            <rFont val="Tahoma"/>
            <family val="2"/>
          </rPr>
          <t xml:space="preserve">
on EFA PC - not feeding anywhere else</t>
        </r>
      </text>
    </comment>
    <comment ref="D52" authorId="1" shapeId="0" xr:uid="{00000000-0006-0000-0700-000006000000}">
      <text>
        <r>
          <rPr>
            <b/>
            <sz val="9"/>
            <color indexed="81"/>
            <rFont val="Tahoma"/>
            <family val="2"/>
          </rPr>
          <t>Margaret Sadler:</t>
        </r>
        <r>
          <rPr>
            <sz val="9"/>
            <color indexed="81"/>
            <rFont val="Tahoma"/>
            <family val="2"/>
          </rPr>
          <t xml:space="preserve">
on EFA PC - not feeding anywhere else</t>
        </r>
      </text>
    </comment>
    <comment ref="E54" authorId="3" shapeId="0" xr:uid="{0030EF79-D309-4146-A836-DCE8C4D9E7CB}">
      <text>
        <t>[Threaded comment]
Your version of Excel allows you to read this threaded comment; however, any edits to it will get removed if the file is opened in a newer version of Excel. Learn more: https://go.microsoft.com/fwlink/?linkid=870924
Comment:
    add formula: only if operating flag = 1</t>
      </text>
    </comment>
    <comment ref="E65" authorId="4" shapeId="0" xr:uid="{00000000-0006-0000-0700-000001000000}">
      <text>
        <t>[Threaded comment]
Your version of Excel allows you to read this threaded comment; however, any edits to it will get removed if the file is opened in a newer version of Excel. Learn more: https://go.microsoft.com/fwlink/?linkid=870924
Comment:
    this now seems eroneous.</t>
      </text>
    </comment>
    <comment ref="G76" authorId="5" shapeId="0" xr:uid="{8D7AA7B5-E386-4E1A-B3D1-AC31214C8C53}">
      <text>
        <t>[Threaded comment]
Your version of Excel allows you to read this threaded comment; however, any edits to it will get removed if the file is opened in a newer version of Excel. Learn more: https://go.microsoft.com/fwlink/?linkid=870924
Comment:
    repeated data from D30 need to re-route the formula</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ruper</author>
  </authors>
  <commentList>
    <comment ref="C3" authorId="0" shapeId="0" xr:uid="{E87FB023-61EA-48AC-A537-79B52AAA085E}">
      <text>
        <r>
          <rPr>
            <b/>
            <sz val="9"/>
            <color indexed="81"/>
            <rFont val="Tahoma"/>
            <family val="2"/>
          </rPr>
          <t>ruper:</t>
        </r>
        <r>
          <rPr>
            <sz val="9"/>
            <color indexed="81"/>
            <rFont val="Tahoma"/>
            <family val="2"/>
          </rPr>
          <t xml:space="preserve">
this needs to operate from the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tc={CA544B9A-85E5-433A-877E-DA27310AC1B2}</author>
  </authors>
  <commentList>
    <comment ref="L4" authorId="0" shapeId="0" xr:uid="{CA544B9A-85E5-433A-877E-DA27310AC1B2}">
      <text>
        <t>[Threaded comment]
Your version of Excel allows you to read this threaded comment; however, any edits to it will get removed if the file is opened in a newer version of Excel. Learn more: https://go.microsoft.com/fwlink/?linkid=870924
Comment:
    this should feed into how many panels it takes for 1kWp</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Edward Terpilowski-Gill</author>
    <author>tc={B8C43D68-FC3E-4F75-8B69-51FA4B73A66E}</author>
    <author>tc={F16CC511-23C5-4EA7-9536-052674209194}</author>
    <author>tc={BB2DD0D9-ABAD-494F-AFC8-921861B8E7ED}</author>
  </authors>
  <commentList>
    <comment ref="I2" authorId="0" shapeId="0" xr:uid="{CE7FD0FA-C44A-41DE-AA89-8B6C8C07A1D6}">
      <text>
        <r>
          <rPr>
            <b/>
            <sz val="9"/>
            <color indexed="81"/>
            <rFont val="Tahoma"/>
            <family val="2"/>
          </rPr>
          <t xml:space="preserve">Edward Terpilowski-Gill:
Cost = battery cost / (storage capacity x depth of discharge x life cycles)
</t>
        </r>
        <r>
          <rPr>
            <sz val="9"/>
            <color indexed="81"/>
            <rFont val="Tahoma"/>
            <family val="2"/>
          </rPr>
          <t xml:space="preserve">
assume all batteries have 3650 cycles over 10 years, i.e. 1 cycle per day</t>
        </r>
      </text>
    </comment>
    <comment ref="F10" authorId="0" shapeId="0" xr:uid="{1C6A6C4C-FB52-4C2C-BE15-754B2E7B4667}">
      <text>
        <r>
          <rPr>
            <b/>
            <sz val="9"/>
            <color indexed="81"/>
            <rFont val="Tahoma"/>
            <family val="2"/>
          </rPr>
          <t>Edward Terpilowski-Gill:</t>
        </r>
        <r>
          <rPr>
            <sz val="9"/>
            <color indexed="81"/>
            <rFont val="Tahoma"/>
            <family val="2"/>
          </rPr>
          <t xml:space="preserve">
https://sifted.eu/articles/voltstorage-tesla-powerwall-alternative/</t>
        </r>
      </text>
    </comment>
    <comment ref="O10" authorId="0" shapeId="0" xr:uid="{63C70700-6611-4C0D-8B0C-91B05DD0AC13}">
      <text>
        <r>
          <rPr>
            <b/>
            <sz val="9"/>
            <color indexed="81"/>
            <rFont val="Tahoma"/>
            <family val="2"/>
          </rPr>
          <t>Edward Terpilowski-Gill:</t>
        </r>
        <r>
          <rPr>
            <sz val="9"/>
            <color indexed="81"/>
            <rFont val="Tahoma"/>
            <family val="2"/>
          </rPr>
          <t xml:space="preserve">
https://voltstorage.com/wp-content/uploads/2020/12/VoltStorage-SMART-Technical-Datasheet.pdf</t>
        </r>
      </text>
    </comment>
    <comment ref="D11" authorId="1" shapeId="0" xr:uid="{B8C43D68-FC3E-4F75-8B69-51FA4B73A66E}">
      <text>
        <t>[Threaded comment]
Your version of Excel allows you to read this threaded comment; however, any edits to it will get removed if the file is opened in a newer version of Excel. Learn more: https://go.microsoft.com/fwlink/?linkid=870924
Comment:
    10 Kwh (Entrust Branded) CATL Li-FePO4 100ah 2 x 5.12 Kwh including case</t>
      </text>
    </comment>
    <comment ref="O11" authorId="2" shapeId="0" xr:uid="{F16CC511-23C5-4EA7-9536-052674209194}">
      <text>
        <t>[Threaded comment]
Your version of Excel allows you to read this threaded comment; however, any edits to it will get removed if the file is opened in a newer version of Excel. Learn more: https://go.microsoft.com/fwlink/?linkid=870924
Comment:
    provisional - data not given by entrust</t>
      </text>
    </comment>
    <comment ref="F12" authorId="0" shapeId="0" xr:uid="{7B1131C1-D72D-4CAA-9293-0145568F5BD4}">
      <text>
        <r>
          <rPr>
            <b/>
            <sz val="9"/>
            <color indexed="81"/>
            <rFont val="Tahoma"/>
            <family val="2"/>
          </rPr>
          <t>Edward Terpilowski-Gill:</t>
        </r>
        <r>
          <rPr>
            <sz val="9"/>
            <color indexed="81"/>
            <rFont val="Tahoma"/>
            <family val="2"/>
          </rPr>
          <t xml:space="preserve">
https://www.zerohomebills.com/product/salt-water-battery/?sfw=pass1608720276</t>
        </r>
      </text>
    </comment>
    <comment ref="J12" authorId="0" shapeId="0" xr:uid="{417D6047-08AA-4C40-9059-2E59F4F6F957}">
      <text>
        <r>
          <rPr>
            <b/>
            <sz val="9"/>
            <color indexed="81"/>
            <rFont val="Tahoma"/>
            <family val="2"/>
          </rPr>
          <t>Edward Terpilowski-Gill:</t>
        </r>
        <r>
          <rPr>
            <sz val="9"/>
            <color indexed="81"/>
            <rFont val="Tahoma"/>
            <family val="2"/>
          </rPr>
          <t xml:space="preserve">
system can discharge completely but gives it a shorter lifetime</t>
        </r>
      </text>
    </comment>
    <comment ref="L12" authorId="0" shapeId="0" xr:uid="{7497685B-F52E-4D06-B299-622284C9F9C0}">
      <text>
        <r>
          <rPr>
            <b/>
            <sz val="9"/>
            <color indexed="81"/>
            <rFont val="Tahoma"/>
            <family val="2"/>
          </rPr>
          <t>Edward Terpilowski-Gill:</t>
        </r>
        <r>
          <rPr>
            <sz val="9"/>
            <color indexed="81"/>
            <rFont val="Tahoma"/>
            <family val="2"/>
          </rPr>
          <t xml:space="preserve">
at 80% DoD, system can actually discharge 100%</t>
        </r>
      </text>
    </comment>
    <comment ref="D17" authorId="3" shapeId="0" xr:uid="{BB2DD0D9-ABAD-494F-AFC8-921861B8E7ED}">
      <text>
        <t>[Threaded comment]
Your version of Excel allows you to read this threaded comment; however, any edits to it will get removed if the file is opened in a newer version of Excel. Learn more: https://go.microsoft.com/fwlink/?linkid=870924
Comment:
    GoodWe 3.68 kW Hybrid Invertor (GW-3648-EM), 230v AC</t>
      </text>
    </comment>
  </commentList>
</comments>
</file>

<file path=xl/sharedStrings.xml><?xml version="1.0" encoding="utf-8"?>
<sst xmlns="http://schemas.openxmlformats.org/spreadsheetml/2006/main" count="585" uniqueCount="436">
  <si>
    <t>Year</t>
  </si>
  <si>
    <t>sheet detailing the number of households on the site</t>
  </si>
  <si>
    <t>description:</t>
  </si>
  <si>
    <t>sheet detailing the costs related to the site</t>
  </si>
  <si>
    <t>household PV system (select from PV products)</t>
  </si>
  <si>
    <t>Total</t>
  </si>
  <si>
    <t>number of households</t>
  </si>
  <si>
    <t>total consumption</t>
  </si>
  <si>
    <t>batteries (select from Battery Products)</t>
  </si>
  <si>
    <t>average annual household consumption</t>
  </si>
  <si>
    <t>line item</t>
  </si>
  <si>
    <t>Grid connection</t>
  </si>
  <si>
    <t>sheet detailing the costs related to implementation</t>
  </si>
  <si>
    <t>Solar PV</t>
  </si>
  <si>
    <t>Batteries</t>
  </si>
  <si>
    <t>(calculate from number of households)</t>
  </si>
  <si>
    <t>quantity (estimate)</t>
  </si>
  <si>
    <t>Cabling and other costs</t>
  </si>
  <si>
    <t>total cost (est.)</t>
  </si>
  <si>
    <r>
      <t xml:space="preserve">(calculate from number of households / by </t>
    </r>
    <r>
      <rPr>
        <b/>
        <sz val="11"/>
        <color theme="1"/>
        <rFont val="Calibri"/>
        <family val="2"/>
        <scheme val="minor"/>
      </rPr>
      <t>x</t>
    </r>
    <r>
      <rPr>
        <sz val="11"/>
        <color theme="1"/>
        <rFont val="Calibri"/>
        <family val="2"/>
        <scheme val="minor"/>
      </rPr>
      <t>)</t>
    </r>
  </si>
  <si>
    <t>calculate from battery lifetime</t>
  </si>
  <si>
    <t>battery replacements</t>
  </si>
  <si>
    <t>-</t>
  </si>
  <si>
    <t>one at £200,000</t>
  </si>
  <si>
    <t>total (£)</t>
  </si>
  <si>
    <t>total man days</t>
  </si>
  <si>
    <t>estimate costs</t>
  </si>
  <si>
    <t>estimate total:</t>
  </si>
  <si>
    <t>number for cashflow:</t>
  </si>
  <si>
    <t>choose either estimate or actual sum</t>
  </si>
  <si>
    <t>Hardware Costs</t>
  </si>
  <si>
    <t>Installation</t>
  </si>
  <si>
    <t>Cabling (10m)</t>
  </si>
  <si>
    <t>Grid Maintenance (1 subst.)</t>
  </si>
  <si>
    <t>sheet detailing the total costs</t>
  </si>
  <si>
    <t>your monthly bill (estimated)</t>
  </si>
  <si>
    <t>Current costs</t>
  </si>
  <si>
    <t>Initial investment</t>
  </si>
  <si>
    <t>EFA Maturity Repayment</t>
  </si>
  <si>
    <t>current retail tariff kWh</t>
  </si>
  <si>
    <t>Solar PV Cashflow Model</t>
  </si>
  <si>
    <t>Operating Flag</t>
  </si>
  <si>
    <t>Inflation</t>
  </si>
  <si>
    <t>Production &amp; Consumption</t>
  </si>
  <si>
    <t>Performance</t>
  </si>
  <si>
    <t xml:space="preserve">Total Production </t>
  </si>
  <si>
    <t>Correlated Production</t>
  </si>
  <si>
    <t>Stored Production</t>
  </si>
  <si>
    <t xml:space="preserve">Export </t>
  </si>
  <si>
    <t>Additional Production</t>
  </si>
  <si>
    <t xml:space="preserve">Total Consumption </t>
  </si>
  <si>
    <t>Retail Tariff</t>
  </si>
  <si>
    <t>CAPEX</t>
  </si>
  <si>
    <t>Subscription Model</t>
  </si>
  <si>
    <t>Original Customer Bill</t>
  </si>
  <si>
    <t>Principal Repayment</t>
  </si>
  <si>
    <t>Starting Balance</t>
  </si>
  <si>
    <t>Change</t>
  </si>
  <si>
    <t>Ending Balance</t>
  </si>
  <si>
    <t>Notes:</t>
  </si>
  <si>
    <t>"EFA Certifcate"</t>
  </si>
  <si>
    <t>Company</t>
  </si>
  <si>
    <t>Battery Capacity</t>
  </si>
  <si>
    <t>Product Name</t>
  </si>
  <si>
    <t>Cost (controlled for 100m2 rooftop)</t>
  </si>
  <si>
    <t>Connection (3G or 4G)</t>
  </si>
  <si>
    <t>Table 1: Cost per kW installed by size band (£)</t>
  </si>
  <si>
    <t>Month</t>
  </si>
  <si>
    <t>0-4kW</t>
  </si>
  <si>
    <t>4-10kW</t>
  </si>
  <si>
    <t>10-50kW</t>
  </si>
  <si>
    <t>£ per kW installed</t>
  </si>
  <si>
    <t>Number of installations</t>
  </si>
  <si>
    <t>Median</t>
  </si>
  <si>
    <t>Mean</t>
  </si>
  <si>
    <t>Lower CI</t>
  </si>
  <si>
    <t>Upper CI</t>
  </si>
  <si>
    <t>April</t>
  </si>
  <si>
    <t>May</t>
  </si>
  <si>
    <t>June</t>
  </si>
  <si>
    <t>July</t>
  </si>
  <si>
    <t>August</t>
  </si>
  <si>
    <t>September</t>
  </si>
  <si>
    <t>October</t>
  </si>
  <si>
    <t>November</t>
  </si>
  <si>
    <t>December</t>
  </si>
  <si>
    <t>January</t>
  </si>
  <si>
    <t>February</t>
  </si>
  <si>
    <t>March</t>
  </si>
  <si>
    <t>Total 2018/19</t>
  </si>
  <si>
    <t>1. Data are sourced from the Microgeneration Certificate Scheme (MCS) database maintained by Gemserv and extracted on 7th May 2019.</t>
  </si>
  <si>
    <t>2. All costs have been rounded to the nearest 10 pounds.</t>
  </si>
  <si>
    <t>3. Not all of these installations will necessarily have been confirmed on the CFR.</t>
  </si>
  <si>
    <t>4. Extensions to existing installations are counted as new installations.</t>
  </si>
  <si>
    <t>5. Northern Ireland installations accredited through the MCS have been excluded.</t>
  </si>
  <si>
    <t>6. Only includes installations that had valid cost data (see table 2 below for coverage).  See special feature article on 'Small scale solar PV cost data' for methodology https://www.gov.uk/government/publications/energy-trends-december-2013-special-feature-article-small-scale-solar-pv-cost-data</t>
  </si>
  <si>
    <t>7. Lower CI = Lower 95% confidence interval, Upper CI = Upper 95% confidence interval.  We can be 95% certain that the mean cost per kW lies within these two values (assuming the cost data entered is a non-biased sample)</t>
  </si>
  <si>
    <t>Table 2: Proportion of installations included in analysis</t>
  </si>
  <si>
    <t>Coverage (%)</t>
  </si>
  <si>
    <t>https://www.gov.uk/government/statistics/solar-pv-cost-data</t>
  </si>
  <si>
    <t>FEED IN TARIFFS: Small scale solar PV cost data</t>
  </si>
  <si>
    <t>manually input</t>
  </si>
  <si>
    <t>https://www.ovoenergy.com/guides/energy-guides/how-much-electricity-does-a-home-use.html</t>
  </si>
  <si>
    <t>Inputs F15</t>
  </si>
  <si>
    <t>inputs F16</t>
  </si>
  <si>
    <t>links to Site Cashflow</t>
  </si>
  <si>
    <t>https://blog.spiritenergy.co.uk/homeowner/are-solar-panels-worth-it</t>
  </si>
  <si>
    <t>kWh/Yr</t>
  </si>
  <si>
    <t>%</t>
  </si>
  <si>
    <t>kWh</t>
  </si>
  <si>
    <t>links to Site Details</t>
  </si>
  <si>
    <t>links to PV products</t>
  </si>
  <si>
    <t>Correlated consumption</t>
  </si>
  <si>
    <t>% solar consumed</t>
  </si>
  <si>
    <t>inputs F27</t>
  </si>
  <si>
    <t>% excess solar stored in battery</t>
  </si>
  <si>
    <t>inputs F28</t>
  </si>
  <si>
    <t>inputs F17</t>
  </si>
  <si>
    <t>Additional Production (%)</t>
  </si>
  <si>
    <t>links to PV Products</t>
  </si>
  <si>
    <t>p/kWh</t>
  </si>
  <si>
    <t>£</t>
  </si>
  <si>
    <t xml:space="preserve">Export Tariff </t>
  </si>
  <si>
    <t>https://octopus.energy/blog/outgoing/</t>
  </si>
  <si>
    <t xml:space="preserve">Retail Tariff </t>
  </si>
  <si>
    <t>retail tariff</t>
  </si>
  <si>
    <t>smart export guarantee</t>
  </si>
  <si>
    <t>https://www.greenmatch.co.uk/blog/2018/07/solar-battery-storage-system-cost</t>
  </si>
  <si>
    <t>Inputs F19</t>
  </si>
  <si>
    <t>kW</t>
  </si>
  <si>
    <t>Average Solar Yield</t>
  </si>
  <si>
    <t>average production</t>
  </si>
  <si>
    <t>kWh/Yr/kW</t>
  </si>
  <si>
    <t>Battery Sizing based on Solar</t>
  </si>
  <si>
    <t>inputs F15</t>
  </si>
  <si>
    <t>PV Products tab</t>
  </si>
  <si>
    <t>Site details tab</t>
  </si>
  <si>
    <t>EFA Ongoing Costs</t>
  </si>
  <si>
    <t>Platform Maintenance</t>
  </si>
  <si>
    <t>£/month/user</t>
  </si>
  <si>
    <t>Service Fee</t>
  </si>
  <si>
    <t>Contractual Savings (%)</t>
  </si>
  <si>
    <t>1000 households</t>
  </si>
  <si>
    <t>household</t>
  </si>
  <si>
    <t>Investor</t>
  </si>
  <si>
    <t>subscription cost</t>
  </si>
  <si>
    <t>savings (%)</t>
  </si>
  <si>
    <t>total investment</t>
  </si>
  <si>
    <t>annual return</t>
  </si>
  <si>
    <t>Total return ($)</t>
  </si>
  <si>
    <t>Total return (%)</t>
  </si>
  <si>
    <t>Base Case</t>
  </si>
  <si>
    <t>Sub-Optimal (low production)</t>
  </si>
  <si>
    <t>Very Sub-Optimal (low production + high cost)</t>
  </si>
  <si>
    <t>High (High production)</t>
  </si>
  <si>
    <t>Very High (high production + low cost)</t>
  </si>
  <si>
    <t>cash flow model for solutions business</t>
  </si>
  <si>
    <t>MPPP</t>
  </si>
  <si>
    <t>&gt;=20% savings</t>
  </si>
  <si>
    <t>instruction</t>
  </si>
  <si>
    <t>model estimate</t>
  </si>
  <si>
    <t>total capital outlay</t>
  </si>
  <si>
    <t>system summary</t>
  </si>
  <si>
    <t>households within project</t>
  </si>
  <si>
    <t>system unit size (kw)</t>
  </si>
  <si>
    <t>cost per kw</t>
  </si>
  <si>
    <t>Project kW</t>
  </si>
  <si>
    <t>households' x 'sys unit size'</t>
  </si>
  <si>
    <t>incorporated above</t>
  </si>
  <si>
    <t>Assumptions</t>
  </si>
  <si>
    <t>it takes half a day to install one household's pv - £139 per panel, with 4 panels per house</t>
  </si>
  <si>
    <t>man days/household</t>
  </si>
  <si>
    <t>rate/house</t>
  </si>
  <si>
    <t>rate/unit</t>
  </si>
  <si>
    <t>4G</t>
  </si>
  <si>
    <t>EFA Certificate Interest Rate</t>
  </si>
  <si>
    <t>links to PV Product</t>
  </si>
  <si>
    <t>Lifetime (years)</t>
  </si>
  <si>
    <t>links to Site Details &amp; Summaries</t>
  </si>
  <si>
    <t>links to Summaries</t>
  </si>
  <si>
    <t>links to PV products &amp; Site Details</t>
  </si>
  <si>
    <t xml:space="preserve">note - roundings </t>
  </si>
  <si>
    <t>roundings - see Hardware</t>
  </si>
  <si>
    <t>from 481 x 4795</t>
  </si>
  <si>
    <t>??</t>
  </si>
  <si>
    <t>See  Summaries D4 &amp; Single Site Revenues AQ16(?)</t>
  </si>
  <si>
    <t xml:space="preserve">links to  Household Offer </t>
  </si>
  <si>
    <t>SEG payment (indicative)</t>
  </si>
  <si>
    <t>SEG Income</t>
  </si>
  <si>
    <t>links to EFAsset</t>
  </si>
  <si>
    <t>Correlated consumption - consumption at the point of generation</t>
  </si>
  <si>
    <t>Stored Excess (not consumed at the point of generation)</t>
  </si>
  <si>
    <t>Customer Savings (Net Savings)</t>
  </si>
  <si>
    <t>EFA Finance</t>
  </si>
  <si>
    <t xml:space="preserve"> - links to Site Cashflow D40</t>
  </si>
  <si>
    <t>links to REF tab</t>
  </si>
  <si>
    <t xml:space="preserve"> - links to EFA E9</t>
  </si>
  <si>
    <t>Select Product</t>
  </si>
  <si>
    <t>Select Quantity per house</t>
  </si>
  <si>
    <t>Net Investment Amount reimbursement</t>
  </si>
  <si>
    <t>Assumptions:</t>
  </si>
  <si>
    <t xml:space="preserve"> Principal Repayment - based on Lifetime year</t>
  </si>
  <si>
    <t xml:space="preserve"> Balance at Prinicipal Repayment Year</t>
  </si>
  <si>
    <t xml:space="preserve"> Balance after Prinicipal Repayment</t>
  </si>
  <si>
    <t>Years to breakeven (Net Investment Amount)</t>
  </si>
  <si>
    <t>yrs</t>
  </si>
  <si>
    <t>average size of rooftop</t>
  </si>
  <si>
    <t>metres squared</t>
  </si>
  <si>
    <t>energy exports</t>
  </si>
  <si>
    <t xml:space="preserve">Tax Rate on Households for operational costs </t>
  </si>
  <si>
    <t>VAT rate on CAPEX</t>
  </si>
  <si>
    <t>average household consumption</t>
  </si>
  <si>
    <t>average household bill</t>
  </si>
  <si>
    <t>Years to break even comparison (must be 0)</t>
  </si>
  <si>
    <t>new monthly bill</t>
  </si>
  <si>
    <t>monthly £ savings</t>
  </si>
  <si>
    <t>annual savings</t>
  </si>
  <si>
    <t>Annual interest (£)</t>
  </si>
  <si>
    <t>(does it work based on the calculation?)</t>
  </si>
  <si>
    <t>notes</t>
  </si>
  <si>
    <t>figures</t>
  </si>
  <si>
    <t>details</t>
  </si>
  <si>
    <t>enter the amount to be invested</t>
  </si>
  <si>
    <t>do not touch!</t>
  </si>
  <si>
    <t>what you get each year</t>
  </si>
  <si>
    <t>this is the representative value of the initial investment in EFA certificates</t>
  </si>
  <si>
    <t>Pay-Back Maturity in years</t>
  </si>
  <si>
    <t>NB - investors will be able to sell their certificates at face value if they wish to access their funds</t>
  </si>
  <si>
    <t>Product name</t>
  </si>
  <si>
    <t>Size of PV module</t>
  </si>
  <si>
    <t>Module power (W)</t>
  </si>
  <si>
    <t>Efficiency/ conversion factor (%)</t>
  </si>
  <si>
    <t>PhonoSolar</t>
  </si>
  <si>
    <t>PS340-350M-24/T (Mono)</t>
  </si>
  <si>
    <t>72 cells 1956x992x40 mm</t>
  </si>
  <si>
    <t>PS325-335P-24/T (Poly)</t>
  </si>
  <si>
    <t>AmeriSolar</t>
  </si>
  <si>
    <t>AS-6M (Mono)</t>
  </si>
  <si>
    <t>340-385</t>
  </si>
  <si>
    <t>AS-6P (Poly)</t>
  </si>
  <si>
    <t>325-355</t>
  </si>
  <si>
    <t>Renewables.ninja inputs</t>
  </si>
  <si>
    <t>E = A * r * H * PR</t>
  </si>
  <si>
    <t>Roof Area (m^2)</t>
  </si>
  <si>
    <t>A</t>
  </si>
  <si>
    <t>r</t>
  </si>
  <si>
    <t>Efficiency (%) or yield (kWp/m^2)</t>
  </si>
  <si>
    <t>No. of modules</t>
  </si>
  <si>
    <t>H</t>
  </si>
  <si>
    <t>Annual avg solar radiation (kWh/m^2)</t>
  </si>
  <si>
    <t>Module power (kW)</t>
  </si>
  <si>
    <t>PR</t>
  </si>
  <si>
    <t>Performance ratio, coefficient for losses (range between 0.5 and 0.9, default value = 0.75)</t>
  </si>
  <si>
    <t>Capacity factor (%)</t>
  </si>
  <si>
    <t>Mean power output (kW)</t>
  </si>
  <si>
    <t>System lifetime</t>
  </si>
  <si>
    <t>Cost of energy (£/kWh)</t>
  </si>
  <si>
    <t>kWh per year</t>
  </si>
  <si>
    <t>365-380</t>
  </si>
  <si>
    <t xml:space="preserve">325-340 </t>
  </si>
  <si>
    <t>Module dimensions (m^2)</t>
  </si>
  <si>
    <t>Cost (USD/Watt)</t>
  </si>
  <si>
    <t>Exchange Rate (USD:GBP)</t>
  </si>
  <si>
    <t>Duties</t>
  </si>
  <si>
    <t>Real cost (£/W)</t>
  </si>
  <si>
    <t>Cost per kW</t>
  </si>
  <si>
    <t>Cost of System</t>
  </si>
  <si>
    <t>System capacity (kW)</t>
  </si>
  <si>
    <t>PV-GIS Optimised</t>
  </si>
  <si>
    <t>Location [Lat/Lon]:</t>
  </si>
  <si>
    <t>51.724, -0.220</t>
  </si>
  <si>
    <t>Horizon:</t>
  </si>
  <si>
    <t>Calculated</t>
  </si>
  <si>
    <t>Database used:</t>
  </si>
  <si>
    <t>PVGIS-SARAH</t>
  </si>
  <si>
    <t>PV technology:</t>
  </si>
  <si>
    <t>Crystalline silicon</t>
  </si>
  <si>
    <t>PV installed [kWp]:</t>
  </si>
  <si>
    <t>System loss [%]:</t>
  </si>
  <si>
    <t>Slope angle [°]:</t>
  </si>
  <si>
    <t>39 (opt)</t>
  </si>
  <si>
    <t>Azimuth angle [°]:</t>
  </si>
  <si>
    <t>-4 (opt)</t>
  </si>
  <si>
    <t>Yearly PV energy production [kWh]:</t>
  </si>
  <si>
    <t>Year-to-year variability [kWh]:</t>
  </si>
  <si>
    <t>Angle of incidence [%]:</t>
  </si>
  <si>
    <t>Spectral effects [%]:</t>
  </si>
  <si>
    <t>Temperature and low irradiance [%]:</t>
  </si>
  <si>
    <t>Total loss [%]:</t>
  </si>
  <si>
    <t>Yearly in-plane irradiation [kWh/m2]:</t>
  </si>
  <si>
    <t>(4 degrees east when south-facing)</t>
  </si>
  <si>
    <t>Rewables.ninja</t>
  </si>
  <si>
    <t>Changes in output due to</t>
  </si>
  <si>
    <t>Provided inputs</t>
  </si>
  <si>
    <t>Simulation outputs</t>
  </si>
  <si>
    <t>https://re.jrc.ec.europa.eu/pvg_tools/en/tools.html#PVP</t>
  </si>
  <si>
    <t>https://photovoltaic-software.com/principle-ressources/how-calculate-solar-energy-power-pv-systems</t>
  </si>
  <si>
    <t>https://www.renewables.ninja/</t>
  </si>
  <si>
    <t>Technology</t>
  </si>
  <si>
    <t>Battery cost (£)</t>
  </si>
  <si>
    <t>Battery Capacity (kWh)</t>
  </si>
  <si>
    <t>Cost (£/kWh)</t>
  </si>
  <si>
    <t>Cost (£ per energy in kWh stored over lifetime)</t>
  </si>
  <si>
    <t>Depth of discharge (%)</t>
  </si>
  <si>
    <t>Lifetime (no of cycles)</t>
  </si>
  <si>
    <t>Guaranteed/advertised product life cycles</t>
  </si>
  <si>
    <t>Warranty (years)</t>
  </si>
  <si>
    <t>Degredation (% per cycle)</t>
  </si>
  <si>
    <t>Round trip energy efficiency</t>
  </si>
  <si>
    <t>Operating temperature range (degrees celcius)</t>
  </si>
  <si>
    <t>Notes</t>
  </si>
  <si>
    <t>ref(s)</t>
  </si>
  <si>
    <t>Tesla Powerwall</t>
  </si>
  <si>
    <t>Li-ion</t>
  </si>
  <si>
    <t>Unlimited within warranty period</t>
  </si>
  <si>
    <t>-20 to 50</t>
  </si>
  <si>
    <t>Generic Lead Acid</t>
  </si>
  <si>
    <t>Lead Acid</t>
  </si>
  <si>
    <t>N/A</t>
  </si>
  <si>
    <t>Generic Li-ion</t>
  </si>
  <si>
    <t>LG Chem RESU 6.5</t>
  </si>
  <si>
    <t>SolaX 3.3</t>
  </si>
  <si>
    <t>Includes solar inverter</t>
  </si>
  <si>
    <t>Powervault 3 (4 kWh)</t>
  </si>
  <si>
    <t>Li-polymer</t>
  </si>
  <si>
    <t>&gt;6000</t>
  </si>
  <si>
    <t>Powervault 3 (8 kWh)</t>
  </si>
  <si>
    <t>VoltStorage Smart</t>
  </si>
  <si>
    <t>Vanadium Redox Flow</t>
  </si>
  <si>
    <t>&gt;10000</t>
  </si>
  <si>
    <t>0 to 35</t>
  </si>
  <si>
    <t>it's big, can’t operate in sub-zero temps</t>
  </si>
  <si>
    <t>https://voltstorage.com/en/voltstorage-smart-home-battery/</t>
  </si>
  <si>
    <t>Salt Water</t>
  </si>
  <si>
    <t>-5 to 50</t>
  </si>
  <si>
    <t>big</t>
  </si>
  <si>
    <t>https://www.bluesky-energy.eu/en/greenrock-home-2/</t>
  </si>
  <si>
    <t>Sodium Ion</t>
  </si>
  <si>
    <t>Sodium Nickel</t>
  </si>
  <si>
    <t>Annual Yield per household (kWh)</t>
  </si>
  <si>
    <t>Annual Yield for 1000 households (kWh)</t>
  </si>
  <si>
    <t>PV panels generation per 1kWp (around 3PV panels) assuming 30degrees tilt and no shading</t>
  </si>
  <si>
    <t>4kW</t>
  </si>
  <si>
    <t>South</t>
  </si>
  <si>
    <t>Southeast/Southwest</t>
  </si>
  <si>
    <t>East / West</t>
  </si>
  <si>
    <t>Northeast/Northwest</t>
  </si>
  <si>
    <t>North</t>
  </si>
  <si>
    <t>Chris H model</t>
  </si>
  <si>
    <t>Chris H (southfacing)</t>
  </si>
  <si>
    <t>Average</t>
  </si>
  <si>
    <t>Model Inputs</t>
  </si>
  <si>
    <t>whole project</t>
  </si>
  <si>
    <t>KWh/Yr</t>
  </si>
  <si>
    <t>kWh/day</t>
  </si>
  <si>
    <t>50% of daily production</t>
  </si>
  <si>
    <t>MERRA-2 (global) 2019</t>
  </si>
  <si>
    <t>no. of panels for 1kWp</t>
  </si>
  <si>
    <t>no. of panels per 4kWp system</t>
  </si>
  <si>
    <t>Retail 1</t>
  </si>
  <si>
    <t>Retail Panel 1</t>
  </si>
  <si>
    <t>Model Average Solar Yield - kWh/Yr/kW</t>
  </si>
  <si>
    <t>Average per 1kWp</t>
  </si>
  <si>
    <t>Tesla</t>
  </si>
  <si>
    <t>Generic</t>
  </si>
  <si>
    <t>LG</t>
  </si>
  <si>
    <t>SolaX</t>
  </si>
  <si>
    <t>Powervault</t>
  </si>
  <si>
    <t>VoltStorage</t>
  </si>
  <si>
    <t>electricity % savings</t>
  </si>
  <si>
    <t>Subscribed Electricity Cost</t>
  </si>
  <si>
    <t>total</t>
  </si>
  <si>
    <t>Itemised Bill</t>
  </si>
  <si>
    <t>Savings</t>
  </si>
  <si>
    <t>Cost/kW Unit</t>
  </si>
  <si>
    <t>Entrust – PV Panels</t>
  </si>
  <si>
    <t>Longi Solar LR4-60HPH-375M</t>
  </si>
  <si>
    <t>Longi Solar LR4-72HPH-455M</t>
  </si>
  <si>
    <t>120 cells 1755 x 1038 x 55mm</t>
  </si>
  <si>
    <t>144 cells 2094 x 1038 x 35mm</t>
  </si>
  <si>
    <t>Entrust</t>
  </si>
  <si>
    <t>Entrust Battery</t>
  </si>
  <si>
    <t>Entrust Invertor (PCS)</t>
  </si>
  <si>
    <t>Entrust Smart Controller (householder energy management)</t>
  </si>
  <si>
    <t>£FREE with above</t>
  </si>
  <si>
    <t>5 (can be extended)</t>
  </si>
  <si>
    <t>Dedicated Yield for Subscription</t>
  </si>
  <si>
    <t>Dedicated Yield for Revenue</t>
  </si>
  <si>
    <t>ProjectRevenue</t>
  </si>
  <si>
    <t>Effective Rate Of Project</t>
  </si>
  <si>
    <t>Customer Savings on (Net Savings as a %)</t>
  </si>
  <si>
    <t>Subscription Service Charge</t>
  </si>
  <si>
    <t>Software Subscription</t>
  </si>
  <si>
    <t>Grid</t>
  </si>
  <si>
    <t>Equivalent Retail Price of Energy</t>
  </si>
  <si>
    <t>Annual Project Yield</t>
  </si>
  <si>
    <t>Project's Electricity Market Displacement</t>
  </si>
  <si>
    <t>% Displaced Energy Revenue for CAPEX Debt line item</t>
  </si>
  <si>
    <t>Totals</t>
  </si>
  <si>
    <t>Project Revenue Share</t>
  </si>
  <si>
    <t>efa Project Finance</t>
  </si>
  <si>
    <t>Investor Revenue Share</t>
  </si>
  <si>
    <t>Total Investor Income</t>
  </si>
  <si>
    <t>Revenue Enhancement Pot</t>
  </si>
  <si>
    <t>Interest Funded Enhancement Pot</t>
  </si>
  <si>
    <t>Project Costs &amp; Returns</t>
  </si>
  <si>
    <t>Lifetime Project Enhancement Pot</t>
  </si>
  <si>
    <t>Enhancement Fund Rate</t>
  </si>
  <si>
    <t>Annualised Rate of Return to the investor</t>
  </si>
  <si>
    <t>PAYG/top-up Income</t>
  </si>
  <si>
    <t>Cost of Energy to Customer (+ BAU Energy Supply)</t>
  </si>
  <si>
    <t>Total Project Subscription Cost</t>
  </si>
  <si>
    <t>Customer Savings &amp; Competition</t>
  </si>
  <si>
    <t>Annual Interest Based Subscripton Payment</t>
  </si>
  <si>
    <t>Market Value of Subscribed Energy</t>
  </si>
  <si>
    <t>Investor Total Revenue Share</t>
  </si>
  <si>
    <t>Effective Rate of Subscription</t>
  </si>
  <si>
    <t>% cost of market energy</t>
  </si>
  <si>
    <t>Cost of Subscription compared to Market</t>
  </si>
  <si>
    <t>Net Potential Energy Savings to Households (inc. BAU)</t>
  </si>
  <si>
    <t>% Project Yield in Subscription</t>
  </si>
  <si>
    <t>Annual Project Income</t>
  </si>
  <si>
    <t>Converted to Generation (kWh)</t>
  </si>
  <si>
    <t>Additional Revenue</t>
  </si>
  <si>
    <t>Additional Project Income</t>
  </si>
  <si>
    <t>Additional Investor Revenue Share</t>
  </si>
  <si>
    <t>Additional Annual return for Investor</t>
  </si>
  <si>
    <t>100% Reinvestment into Generation</t>
  </si>
  <si>
    <t>Annual % Return From Revenue Share + Paid Interest</t>
  </si>
  <si>
    <t>Total Annual Return</t>
  </si>
  <si>
    <t>Annualised return to investors</t>
  </si>
  <si>
    <t>Orson</t>
  </si>
  <si>
    <t>Debt Interest Rate</t>
  </si>
  <si>
    <t>£/kWh</t>
  </si>
  <si>
    <t xml:space="preserve">Subscription offer against the market £kWh </t>
  </si>
  <si>
    <t>ecoexperts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</si>
</sst>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Red]\-&quot;£&quot;#,##0"/>
    <numFmt numFmtId="44" formatCode="_-&quot;£&quot;* #,##0.00_-;\-&quot;£&quot;* #,##0.00_-;_-&quot;£&quot;* &quot;-&quot;??_-;_-@_-"/>
    <numFmt numFmtId="43" formatCode="_-* #,##0.00_-;\-* #,##0.00_-;_-* &quot;-&quot;??_-;_-@_-"/>
    <numFmt numFmtId="164" formatCode="_-[$£-809]* #,##0.00_-;\-[$£-809]* #,##0.00_-;_-[$£-809]* &quot;-&quot;??_-;_-@_-"/>
    <numFmt numFmtId="165" formatCode="_-* #,##0_-;\-* #,##0_-;_-* &quot;-&quot;??_-;_-@_-"/>
    <numFmt numFmtId="166" formatCode="0.0%"/>
    <numFmt numFmtId="167" formatCode="0.0000"/>
    <numFmt numFmtId="168" formatCode="&quot;£&quot;#,##0.00"/>
    <numFmt numFmtId="169" formatCode="#,##0.00000"/>
    <numFmt numFmtId="170" formatCode="0.000%"/>
  </numFmts>
  <fonts count="36"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
      <sz val="8"/>
      <name val="Calibri"/>
      <family val="2"/>
      <scheme val="minor"/>
    </font>
    <font>
      <sz val="8"/>
      <color theme="1"/>
      <name val="Calibri"/>
      <family val="2"/>
      <scheme val="minor"/>
    </font>
    <font>
      <sz val="10"/>
      <name val="Arial"/>
      <family val="2"/>
    </font>
    <font>
      <sz val="11"/>
      <color indexed="8"/>
      <name val="Calibri"/>
      <family val="2"/>
      <scheme val="minor"/>
    </font>
    <font>
      <b/>
      <sz val="8"/>
      <color theme="1"/>
      <name val="Calibri"/>
      <family val="2"/>
      <scheme val="minor"/>
    </font>
    <font>
      <u/>
      <sz val="11"/>
      <color theme="10"/>
      <name val="Calibri"/>
      <family val="2"/>
      <scheme val="minor"/>
    </font>
    <font>
      <b/>
      <sz val="12"/>
      <name val="Arial"/>
      <family val="2"/>
    </font>
    <font>
      <sz val="12"/>
      <color rgb="FF000000"/>
      <name val="Corbel"/>
      <family val="2"/>
    </font>
    <font>
      <sz val="9"/>
      <color indexed="81"/>
      <name val="Tahoma"/>
      <family val="2"/>
    </font>
    <font>
      <b/>
      <sz val="9"/>
      <color indexed="81"/>
      <name val="Tahoma"/>
      <family val="2"/>
    </font>
    <font>
      <i/>
      <sz val="11"/>
      <color theme="1"/>
      <name val="Calibri"/>
      <family val="2"/>
      <scheme val="minor"/>
    </font>
    <font>
      <u/>
      <sz val="9"/>
      <color theme="10"/>
      <name val="Calibri"/>
      <family val="2"/>
      <scheme val="minor"/>
    </font>
    <font>
      <sz val="11"/>
      <name val="Calibri"/>
      <family val="2"/>
      <scheme val="minor"/>
    </font>
    <font>
      <sz val="10"/>
      <color theme="1"/>
      <name val="Calibri"/>
      <family val="2"/>
      <scheme val="minor"/>
    </font>
    <font>
      <sz val="9"/>
      <color theme="1"/>
      <name val="Calibri"/>
      <family val="2"/>
      <scheme val="minor"/>
    </font>
    <font>
      <u/>
      <sz val="8"/>
      <color theme="10"/>
      <name val="Calibri"/>
      <family val="2"/>
      <scheme val="minor"/>
    </font>
    <font>
      <b/>
      <u/>
      <sz val="11"/>
      <color theme="1"/>
      <name val="Calibri"/>
      <family val="2"/>
      <scheme val="minor"/>
    </font>
    <font>
      <b/>
      <sz val="10"/>
      <color theme="1"/>
      <name val="Calibri"/>
      <family val="2"/>
      <scheme val="minor"/>
    </font>
    <font>
      <sz val="10"/>
      <name val="Calibri"/>
      <family val="2"/>
      <scheme val="minor"/>
    </font>
    <font>
      <sz val="11"/>
      <color rgb="FF000000"/>
      <name val="Calibri"/>
      <family val="2"/>
      <scheme val="minor"/>
    </font>
    <font>
      <b/>
      <sz val="10"/>
      <color theme="1"/>
      <name val="Arial"/>
      <family val="2"/>
    </font>
    <font>
      <sz val="10"/>
      <color theme="1"/>
      <name val="Arial"/>
      <family val="2"/>
    </font>
    <font>
      <b/>
      <sz val="11"/>
      <color rgb="FF000000"/>
      <name val="Calibri"/>
      <family val="2"/>
      <scheme val="minor"/>
    </font>
    <font>
      <b/>
      <sz val="11"/>
      <name val="Calibri"/>
      <family val="2"/>
      <scheme val="minor"/>
    </font>
    <font>
      <sz val="11"/>
      <name val="Calibri"/>
      <family val="2"/>
    </font>
    <font>
      <sz val="11"/>
      <color rgb="FF9C5700"/>
      <name val="Calibri"/>
      <family val="2"/>
      <scheme val="minor"/>
    </font>
    <font>
      <sz val="11"/>
      <color rgb="FFFFFF00"/>
      <name val="Calibri"/>
      <family val="2"/>
      <scheme val="minor"/>
    </font>
    <font>
      <sz val="10"/>
      <color rgb="FFFFFF00"/>
      <name val="Calibri"/>
      <family val="2"/>
      <scheme val="minor"/>
    </font>
    <font>
      <sz val="8"/>
      <color rgb="FFFFFF00"/>
      <name val="Calibri"/>
      <family val="2"/>
      <scheme val="minor"/>
    </font>
    <font>
      <b/>
      <sz val="10"/>
      <name val="Calibri"/>
      <family val="2"/>
      <scheme val="minor"/>
    </font>
    <font>
      <i/>
      <sz val="8"/>
      <color theme="1"/>
      <name val="Calibri"/>
      <family val="2"/>
      <scheme val="minor"/>
    </font>
  </fonts>
  <fills count="23">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rgb="FF00B0F0"/>
        <bgColor indexed="64"/>
      </patternFill>
    </fill>
    <fill>
      <patternFill patternType="solid">
        <fgColor theme="1"/>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8" tint="0.79998168889431442"/>
        <bgColor indexed="64"/>
      </patternFill>
    </fill>
    <fill>
      <patternFill patternType="solid">
        <fgColor rgb="FF70AD47"/>
        <bgColor indexed="64"/>
      </patternFill>
    </fill>
    <fill>
      <patternFill patternType="solid">
        <fgColor theme="7"/>
        <bgColor indexed="64"/>
      </patternFill>
    </fill>
    <fill>
      <patternFill patternType="solid">
        <fgColor rgb="FFFF0000"/>
        <bgColor indexed="64"/>
      </patternFill>
    </fill>
    <fill>
      <patternFill patternType="solid">
        <fgColor theme="9" tint="0.59999389629810485"/>
        <bgColor indexed="64"/>
      </patternFill>
    </fill>
    <fill>
      <patternFill patternType="solid">
        <fgColor rgb="FFFF6699"/>
        <bgColor indexed="64"/>
      </patternFill>
    </fill>
    <fill>
      <patternFill patternType="solid">
        <fgColor rgb="FFFFCCCC"/>
        <bgColor indexed="64"/>
      </patternFill>
    </fill>
    <fill>
      <patternFill patternType="solid">
        <fgColor rgb="FFCC00CC"/>
        <bgColor indexed="64"/>
      </patternFill>
    </fill>
    <fill>
      <patternFill patternType="solid">
        <fgColor rgb="FFFFB7B7"/>
        <bgColor indexed="64"/>
      </patternFill>
    </fill>
    <fill>
      <patternFill patternType="solid">
        <fgColor rgb="FFFF7979"/>
        <bgColor indexed="64"/>
      </patternFill>
    </fill>
    <fill>
      <patternFill patternType="solid">
        <fgColor theme="9" tint="0.79998168889431442"/>
        <bgColor indexed="64"/>
      </patternFill>
    </fill>
    <fill>
      <patternFill patternType="solid">
        <fgColor rgb="FFFFEB9C"/>
      </patternFill>
    </fill>
    <fill>
      <patternFill patternType="solid">
        <fgColor theme="0" tint="-4.9989318521683403E-2"/>
        <bgColor indexed="64"/>
      </patternFill>
    </fill>
  </fills>
  <borders count="40">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bottom style="double">
        <color indexed="64"/>
      </bottom>
      <diagonal/>
    </border>
    <border>
      <left style="thin">
        <color indexed="64"/>
      </left>
      <right/>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right/>
      <top style="thin">
        <color indexed="64"/>
      </top>
      <bottom style="medium">
        <color indexed="64"/>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s>
  <cellStyleXfs count="8">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7" fillId="0" borderId="0"/>
    <xf numFmtId="0" fontId="10" fillId="0" borderId="0" applyNumberFormat="0" applyFill="0" applyBorder="0" applyAlignment="0" applyProtection="0"/>
    <xf numFmtId="0" fontId="12" fillId="0" borderId="0"/>
    <xf numFmtId="0" fontId="30" fillId="21" borderId="0" applyNumberFormat="0" applyBorder="0" applyAlignment="0" applyProtection="0"/>
  </cellStyleXfs>
  <cellXfs count="467">
    <xf numFmtId="0" fontId="0" fillId="0" borderId="0" xfId="0"/>
    <xf numFmtId="0" fontId="0" fillId="0" borderId="0" xfId="0" applyAlignment="1">
      <alignment horizontal="center"/>
    </xf>
    <xf numFmtId="0" fontId="0" fillId="0" borderId="6" xfId="0" applyBorder="1"/>
    <xf numFmtId="0" fontId="0" fillId="0" borderId="7" xfId="0" applyBorder="1"/>
    <xf numFmtId="0" fontId="0" fillId="0" borderId="0" xfId="0" applyBorder="1"/>
    <xf numFmtId="0" fontId="0" fillId="0" borderId="9" xfId="0" applyBorder="1"/>
    <xf numFmtId="0" fontId="0" fillId="0" borderId="0" xfId="0" applyBorder="1" applyAlignment="1">
      <alignment horizontal="center"/>
    </xf>
    <xf numFmtId="0" fontId="0" fillId="0" borderId="11" xfId="0" applyBorder="1"/>
    <xf numFmtId="0" fontId="0" fillId="0" borderId="12" xfId="0" applyBorder="1"/>
    <xf numFmtId="0" fontId="0" fillId="0" borderId="0" xfId="0" applyAlignment="1">
      <alignment horizontal="right"/>
    </xf>
    <xf numFmtId="0" fontId="0" fillId="0" borderId="0" xfId="0" applyAlignment="1">
      <alignment horizontal="left"/>
    </xf>
    <xf numFmtId="0" fontId="3" fillId="0" borderId="0" xfId="0" applyFont="1" applyAlignment="1">
      <alignment horizontal="left"/>
    </xf>
    <xf numFmtId="0" fontId="3" fillId="0" borderId="0" xfId="0" applyFont="1"/>
    <xf numFmtId="6" fontId="0" fillId="0" borderId="0" xfId="0" applyNumberFormat="1"/>
    <xf numFmtId="164" fontId="0" fillId="0" borderId="0" xfId="0" applyNumberFormat="1" applyBorder="1"/>
    <xf numFmtId="0" fontId="3" fillId="0" borderId="14" xfId="0" applyFont="1" applyBorder="1"/>
    <xf numFmtId="0" fontId="3" fillId="0" borderId="13" xfId="0" applyFont="1" applyBorder="1"/>
    <xf numFmtId="0" fontId="3" fillId="0" borderId="15" xfId="0" applyFont="1" applyBorder="1"/>
    <xf numFmtId="0" fontId="0" fillId="0" borderId="9" xfId="0" applyBorder="1" applyAlignment="1">
      <alignment horizontal="center"/>
    </xf>
    <xf numFmtId="164" fontId="0" fillId="0" borderId="0" xfId="0" applyNumberFormat="1" applyBorder="1" applyAlignment="1">
      <alignment horizontal="left"/>
    </xf>
    <xf numFmtId="0" fontId="0" fillId="0" borderId="9" xfId="0" quotePrefix="1" applyBorder="1" applyAlignment="1">
      <alignment horizontal="left"/>
    </xf>
    <xf numFmtId="164" fontId="0" fillId="0" borderId="3" xfId="0" applyNumberFormat="1" applyBorder="1" applyAlignment="1">
      <alignment horizontal="left"/>
    </xf>
    <xf numFmtId="164" fontId="0" fillId="0" borderId="2" xfId="0" applyNumberFormat="1" applyBorder="1" applyAlignment="1">
      <alignment horizontal="left"/>
    </xf>
    <xf numFmtId="2" fontId="0" fillId="0" borderId="0" xfId="0" applyNumberFormat="1" applyBorder="1" applyAlignment="1">
      <alignment horizontal="center"/>
    </xf>
    <xf numFmtId="2" fontId="0" fillId="0" borderId="9" xfId="0" applyNumberFormat="1" applyBorder="1" applyAlignment="1">
      <alignment horizontal="center"/>
    </xf>
    <xf numFmtId="0" fontId="4" fillId="0" borderId="0" xfId="0" applyFont="1" applyAlignment="1">
      <alignment horizontal="right"/>
    </xf>
    <xf numFmtId="0" fontId="3" fillId="0" borderId="0" xfId="0" applyFont="1" applyBorder="1"/>
    <xf numFmtId="0" fontId="0" fillId="0" borderId="6" xfId="0" applyBorder="1" applyAlignment="1">
      <alignment horizontal="right"/>
    </xf>
    <xf numFmtId="0" fontId="0" fillId="0" borderId="11" xfId="0" applyBorder="1" applyAlignment="1">
      <alignment horizontal="right"/>
    </xf>
    <xf numFmtId="0" fontId="2" fillId="0" borderId="0" xfId="0" applyFont="1" applyAlignment="1">
      <alignment horizontal="center"/>
    </xf>
    <xf numFmtId="164" fontId="0" fillId="0" borderId="0" xfId="0" applyNumberFormat="1"/>
    <xf numFmtId="44" fontId="0" fillId="0" borderId="0" xfId="1" applyFont="1"/>
    <xf numFmtId="0" fontId="0" fillId="0" borderId="0" xfId="0" applyFill="1" applyBorder="1" applyAlignment="1">
      <alignment horizontal="center"/>
    </xf>
    <xf numFmtId="0" fontId="0" fillId="0" borderId="0" xfId="0" applyFont="1" applyBorder="1" applyAlignment="1">
      <alignment horizontal="right"/>
    </xf>
    <xf numFmtId="0" fontId="0" fillId="2" borderId="0" xfId="0" applyFill="1"/>
    <xf numFmtId="0" fontId="3" fillId="3" borderId="18" xfId="0" applyFont="1" applyFill="1" applyBorder="1" applyAlignment="1">
      <alignment horizontal="left"/>
    </xf>
    <xf numFmtId="0" fontId="0" fillId="3" borderId="0" xfId="0" applyFill="1"/>
    <xf numFmtId="0" fontId="3" fillId="3" borderId="17" xfId="0" applyFont="1" applyFill="1" applyBorder="1" applyAlignment="1">
      <alignment horizontal="center"/>
    </xf>
    <xf numFmtId="0" fontId="3" fillId="3" borderId="17" xfId="0" applyFont="1" applyFill="1" applyBorder="1" applyAlignment="1">
      <alignment horizontal="center" wrapText="1"/>
    </xf>
    <xf numFmtId="0" fontId="3" fillId="3" borderId="18" xfId="0" applyFont="1" applyFill="1" applyBorder="1" applyAlignment="1">
      <alignment horizontal="center"/>
    </xf>
    <xf numFmtId="0" fontId="3" fillId="3" borderId="27" xfId="0" applyFont="1" applyFill="1" applyBorder="1" applyAlignment="1">
      <alignment horizontal="center"/>
    </xf>
    <xf numFmtId="0" fontId="8" fillId="3" borderId="22" xfId="4" applyFont="1" applyFill="1" applyBorder="1" applyAlignment="1">
      <alignment horizontal="left" vertical="top" wrapText="1"/>
    </xf>
    <xf numFmtId="165" fontId="0" fillId="3" borderId="0" xfId="3" applyNumberFormat="1" applyFont="1" applyFill="1" applyBorder="1"/>
    <xf numFmtId="165" fontId="0" fillId="3" borderId="20" xfId="3" applyNumberFormat="1" applyFont="1" applyFill="1" applyBorder="1"/>
    <xf numFmtId="165" fontId="0" fillId="3" borderId="28" xfId="3" applyNumberFormat="1" applyFont="1" applyFill="1" applyBorder="1"/>
    <xf numFmtId="165" fontId="0" fillId="3" borderId="21" xfId="3" applyNumberFormat="1" applyFont="1" applyFill="1" applyBorder="1"/>
    <xf numFmtId="165" fontId="0" fillId="3" borderId="29" xfId="3" applyNumberFormat="1" applyFont="1" applyFill="1" applyBorder="1"/>
    <xf numFmtId="165" fontId="0" fillId="3" borderId="30" xfId="3" applyNumberFormat="1" applyFont="1" applyFill="1" applyBorder="1"/>
    <xf numFmtId="0" fontId="8" fillId="3" borderId="16" xfId="4" applyFont="1" applyFill="1" applyBorder="1" applyAlignment="1">
      <alignment horizontal="left" vertical="top" wrapText="1"/>
    </xf>
    <xf numFmtId="0" fontId="8" fillId="3" borderId="26" xfId="4" applyFont="1" applyFill="1" applyBorder="1" applyAlignment="1">
      <alignment horizontal="left" vertical="top" wrapText="1"/>
    </xf>
    <xf numFmtId="165" fontId="0" fillId="3" borderId="17" xfId="3" applyNumberFormat="1" applyFont="1" applyFill="1" applyBorder="1"/>
    <xf numFmtId="165" fontId="0" fillId="3" borderId="18" xfId="3" applyNumberFormat="1" applyFont="1" applyFill="1" applyBorder="1"/>
    <xf numFmtId="165" fontId="0" fillId="3" borderId="27" xfId="3" applyNumberFormat="1" applyFont="1" applyFill="1" applyBorder="1"/>
    <xf numFmtId="165" fontId="3" fillId="3" borderId="17" xfId="3" applyNumberFormat="1" applyFont="1" applyFill="1" applyBorder="1"/>
    <xf numFmtId="165" fontId="3" fillId="3" borderId="18" xfId="3" applyNumberFormat="1" applyFont="1" applyFill="1" applyBorder="1"/>
    <xf numFmtId="165" fontId="3" fillId="3" borderId="27" xfId="3" applyNumberFormat="1" applyFont="1" applyFill="1" applyBorder="1"/>
    <xf numFmtId="0" fontId="9" fillId="3" borderId="0" xfId="0" applyFont="1" applyFill="1"/>
    <xf numFmtId="0" fontId="6" fillId="3" borderId="0" xfId="0" applyFont="1" applyFill="1"/>
    <xf numFmtId="43" fontId="6" fillId="3" borderId="0" xfId="0" applyNumberFormat="1" applyFont="1" applyFill="1"/>
    <xf numFmtId="166" fontId="6" fillId="3" borderId="0" xfId="2" applyNumberFormat="1" applyFont="1" applyFill="1"/>
    <xf numFmtId="0" fontId="3" fillId="3" borderId="22" xfId="0" applyFont="1" applyFill="1" applyBorder="1"/>
    <xf numFmtId="0" fontId="0" fillId="3" borderId="22" xfId="0" applyFill="1" applyBorder="1"/>
    <xf numFmtId="0" fontId="3" fillId="3" borderId="26" xfId="0" applyFont="1" applyFill="1" applyBorder="1"/>
    <xf numFmtId="0" fontId="3" fillId="3" borderId="16" xfId="0" applyFont="1" applyFill="1" applyBorder="1"/>
    <xf numFmtId="9" fontId="0" fillId="3" borderId="22" xfId="3" applyNumberFormat="1" applyFont="1" applyFill="1" applyBorder="1"/>
    <xf numFmtId="9" fontId="0" fillId="3" borderId="16" xfId="3" applyNumberFormat="1" applyFont="1" applyFill="1" applyBorder="1"/>
    <xf numFmtId="9" fontId="0" fillId="3" borderId="26" xfId="3" applyNumberFormat="1" applyFont="1" applyFill="1" applyBorder="1"/>
    <xf numFmtId="0" fontId="10" fillId="0" borderId="0" xfId="5"/>
    <xf numFmtId="0" fontId="16" fillId="0" borderId="0" xfId="5" applyFont="1"/>
    <xf numFmtId="0" fontId="0" fillId="0" borderId="0" xfId="0" applyFill="1"/>
    <xf numFmtId="0" fontId="6" fillId="2" borderId="0" xfId="0" applyFont="1" applyFill="1"/>
    <xf numFmtId="0" fontId="20" fillId="2" borderId="0" xfId="5" applyFont="1" applyFill="1"/>
    <xf numFmtId="9" fontId="0" fillId="2" borderId="0" xfId="2" applyFont="1" applyFill="1"/>
    <xf numFmtId="0" fontId="10" fillId="0" borderId="0" xfId="5" applyFill="1"/>
    <xf numFmtId="0" fontId="0" fillId="0" borderId="0" xfId="0" applyFill="1" applyBorder="1"/>
    <xf numFmtId="0" fontId="17" fillId="2" borderId="0" xfId="0" applyFont="1" applyFill="1"/>
    <xf numFmtId="10" fontId="0" fillId="0" borderId="0" xfId="0" applyNumberFormat="1" applyFill="1"/>
    <xf numFmtId="167" fontId="0" fillId="2" borderId="0" xfId="0" applyNumberFormat="1" applyFill="1"/>
    <xf numFmtId="9" fontId="6" fillId="0" borderId="0" xfId="0" applyNumberFormat="1" applyFont="1" applyAlignment="1">
      <alignment horizontal="left"/>
    </xf>
    <xf numFmtId="1" fontId="0" fillId="2" borderId="0" xfId="0" applyNumberFormat="1" applyFill="1"/>
    <xf numFmtId="0" fontId="3" fillId="0" borderId="6" xfId="0" applyFont="1" applyBorder="1" applyAlignment="1">
      <alignment horizontal="right"/>
    </xf>
    <xf numFmtId="0" fontId="3" fillId="0" borderId="0" xfId="0" applyFont="1" applyBorder="1" applyAlignment="1">
      <alignment horizontal="right"/>
    </xf>
    <xf numFmtId="0" fontId="0" fillId="0" borderId="0" xfId="0" applyFont="1" applyBorder="1" applyAlignment="1">
      <alignment horizontal="center"/>
    </xf>
    <xf numFmtId="0" fontId="0" fillId="0" borderId="0" xfId="0" applyFill="1" applyBorder="1" applyAlignment="1">
      <alignment horizontal="right"/>
    </xf>
    <xf numFmtId="0" fontId="15" fillId="2" borderId="7" xfId="0" applyFont="1" applyFill="1" applyBorder="1"/>
    <xf numFmtId="9" fontId="0" fillId="2" borderId="11" xfId="0" applyNumberFormat="1" applyFill="1" applyBorder="1" applyAlignment="1">
      <alignment horizontal="center"/>
    </xf>
    <xf numFmtId="0" fontId="15" fillId="2" borderId="12" xfId="0" applyFont="1" applyFill="1" applyBorder="1"/>
    <xf numFmtId="0" fontId="3" fillId="0" borderId="2"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0" fillId="0" borderId="6" xfId="0" applyBorder="1" applyAlignment="1">
      <alignment horizontal="right" vertical="center"/>
    </xf>
    <xf numFmtId="44" fontId="0" fillId="0" borderId="6" xfId="1" applyFont="1" applyBorder="1"/>
    <xf numFmtId="0" fontId="0" fillId="0" borderId="11" xfId="0" applyFont="1" applyBorder="1" applyAlignment="1">
      <alignment horizontal="right"/>
    </xf>
    <xf numFmtId="0" fontId="0" fillId="0" borderId="6" xfId="0" applyFill="1" applyBorder="1" applyAlignment="1">
      <alignment horizontal="right"/>
    </xf>
    <xf numFmtId="0" fontId="0" fillId="0" borderId="6" xfId="0" quotePrefix="1" applyFill="1" applyBorder="1"/>
    <xf numFmtId="0" fontId="0" fillId="0" borderId="6" xfId="0" applyFill="1" applyBorder="1"/>
    <xf numFmtId="0" fontId="19" fillId="2" borderId="6" xfId="0" applyFont="1" applyFill="1" applyBorder="1"/>
    <xf numFmtId="0" fontId="19" fillId="2" borderId="0" xfId="0" applyFont="1" applyFill="1" applyBorder="1"/>
    <xf numFmtId="0" fontId="0" fillId="0" borderId="0" xfId="0" applyFont="1" applyFill="1" applyBorder="1" applyAlignment="1">
      <alignment horizontal="right"/>
    </xf>
    <xf numFmtId="9" fontId="0" fillId="2" borderId="0" xfId="0" applyNumberFormat="1" applyFill="1" applyBorder="1" applyAlignment="1">
      <alignment horizontal="center"/>
    </xf>
    <xf numFmtId="0" fontId="0" fillId="0" borderId="11" xfId="0" applyFont="1" applyFill="1" applyBorder="1" applyAlignment="1">
      <alignment horizontal="right"/>
    </xf>
    <xf numFmtId="0" fontId="0" fillId="0" borderId="11" xfId="0" applyFill="1" applyBorder="1"/>
    <xf numFmtId="4" fontId="0" fillId="0" borderId="6" xfId="0" applyNumberFormat="1" applyFill="1" applyBorder="1" applyAlignment="1">
      <alignment horizontal="center"/>
    </xf>
    <xf numFmtId="3" fontId="0" fillId="2" borderId="0" xfId="0" applyNumberFormat="1" applyFill="1" applyBorder="1" applyAlignment="1">
      <alignment horizontal="center"/>
    </xf>
    <xf numFmtId="0" fontId="0" fillId="0" borderId="6" xfId="0" applyFill="1" applyBorder="1" applyAlignment="1">
      <alignment horizontal="center"/>
    </xf>
    <xf numFmtId="0" fontId="0" fillId="0" borderId="11" xfId="0" applyFill="1" applyBorder="1" applyAlignment="1">
      <alignment horizontal="center"/>
    </xf>
    <xf numFmtId="0" fontId="11" fillId="0" borderId="0" xfId="0" applyFont="1" applyFill="1" applyAlignment="1">
      <alignment horizontal="left" vertical="center"/>
    </xf>
    <xf numFmtId="0" fontId="3" fillId="0" borderId="6" xfId="0" applyFont="1" applyFill="1" applyBorder="1" applyAlignment="1">
      <alignment horizontal="right"/>
    </xf>
    <xf numFmtId="0" fontId="3" fillId="0" borderId="11" xfId="0" applyFont="1" applyFill="1" applyBorder="1" applyAlignment="1">
      <alignment horizontal="right"/>
    </xf>
    <xf numFmtId="9" fontId="0" fillId="10" borderId="6" xfId="0" applyNumberFormat="1" applyFill="1" applyBorder="1" applyAlignment="1">
      <alignment horizontal="center"/>
    </xf>
    <xf numFmtId="9" fontId="0" fillId="10" borderId="11" xfId="0" applyNumberFormat="1" applyFill="1" applyBorder="1" applyAlignment="1">
      <alignment horizontal="center"/>
    </xf>
    <xf numFmtId="0" fontId="6" fillId="0" borderId="5" xfId="0" applyFont="1" applyBorder="1"/>
    <xf numFmtId="0" fontId="6" fillId="0" borderId="10" xfId="0" applyFont="1" applyBorder="1"/>
    <xf numFmtId="44" fontId="3" fillId="0" borderId="31" xfId="0" applyNumberFormat="1" applyFont="1" applyBorder="1" applyAlignment="1">
      <alignment horizontal="left"/>
    </xf>
    <xf numFmtId="0" fontId="3" fillId="8" borderId="0" xfId="0" applyFont="1" applyFill="1" applyAlignment="1">
      <alignment horizontal="left"/>
    </xf>
    <xf numFmtId="0" fontId="0" fillId="4" borderId="0" xfId="0" applyFill="1" applyAlignment="1">
      <alignment horizontal="left"/>
    </xf>
    <xf numFmtId="0" fontId="0" fillId="4" borderId="0" xfId="0" applyFill="1" applyAlignment="1">
      <alignment horizontal="center"/>
    </xf>
    <xf numFmtId="0" fontId="4" fillId="0" borderId="0" xfId="0" applyFont="1"/>
    <xf numFmtId="0" fontId="0" fillId="2" borderId="0" xfId="0" applyFill="1" applyBorder="1"/>
    <xf numFmtId="164" fontId="0" fillId="2" borderId="0" xfId="0" applyNumberFormat="1" applyFill="1"/>
    <xf numFmtId="3" fontId="0" fillId="10" borderId="6" xfId="0" applyNumberFormat="1" applyFill="1" applyBorder="1"/>
    <xf numFmtId="4" fontId="0" fillId="10" borderId="11" xfId="0" applyNumberFormat="1" applyFill="1" applyBorder="1"/>
    <xf numFmtId="9" fontId="0" fillId="10" borderId="20" xfId="0" applyNumberFormat="1" applyFill="1" applyBorder="1"/>
    <xf numFmtId="9" fontId="0" fillId="10" borderId="17" xfId="0" applyNumberFormat="1" applyFill="1" applyBorder="1"/>
    <xf numFmtId="10" fontId="0" fillId="10" borderId="0" xfId="0" applyNumberFormat="1" applyFill="1" applyAlignment="1">
      <alignment horizontal="center"/>
    </xf>
    <xf numFmtId="0" fontId="0" fillId="9" borderId="6" xfId="0" applyFill="1" applyBorder="1"/>
    <xf numFmtId="0" fontId="10" fillId="0" borderId="6" xfId="5" applyBorder="1"/>
    <xf numFmtId="9" fontId="0" fillId="9" borderId="11" xfId="0" applyNumberFormat="1" applyFill="1" applyBorder="1"/>
    <xf numFmtId="0" fontId="18" fillId="0" borderId="0" xfId="0" applyFont="1"/>
    <xf numFmtId="44" fontId="0" fillId="6" borderId="0" xfId="1" applyFont="1" applyFill="1" applyBorder="1" applyAlignment="1">
      <alignment horizontal="left"/>
    </xf>
    <xf numFmtId="164" fontId="3" fillId="6" borderId="1" xfId="0" applyNumberFormat="1" applyFont="1" applyFill="1" applyBorder="1" applyAlignment="1">
      <alignment horizontal="left"/>
    </xf>
    <xf numFmtId="0" fontId="22" fillId="0" borderId="0" xfId="0" applyFont="1"/>
    <xf numFmtId="0" fontId="18" fillId="0" borderId="0" xfId="0" applyFont="1" applyAlignment="1">
      <alignment horizontal="right"/>
    </xf>
    <xf numFmtId="0" fontId="18" fillId="0" borderId="0" xfId="0" applyFont="1" applyFill="1"/>
    <xf numFmtId="10" fontId="18" fillId="0" borderId="0" xfId="0" applyNumberFormat="1" applyFont="1"/>
    <xf numFmtId="3" fontId="23" fillId="10" borderId="0" xfId="0" applyNumberFormat="1" applyFont="1" applyFill="1"/>
    <xf numFmtId="3" fontId="18" fillId="0" borderId="0" xfId="0" applyNumberFormat="1" applyFont="1"/>
    <xf numFmtId="10" fontId="18" fillId="10" borderId="0" xfId="2" applyNumberFormat="1" applyFont="1" applyFill="1" applyAlignment="1">
      <alignment horizontal="center"/>
    </xf>
    <xf numFmtId="9" fontId="18" fillId="0" borderId="0" xfId="0" applyNumberFormat="1" applyFont="1"/>
    <xf numFmtId="0" fontId="18" fillId="0" borderId="0" xfId="0" applyFont="1" applyAlignment="1">
      <alignment horizontal="center"/>
    </xf>
    <xf numFmtId="9" fontId="18" fillId="10" borderId="0" xfId="0" applyNumberFormat="1" applyFont="1" applyFill="1" applyAlignment="1">
      <alignment horizontal="center"/>
    </xf>
    <xf numFmtId="0" fontId="22" fillId="0" borderId="0" xfId="0" applyFont="1" applyAlignment="1">
      <alignment horizontal="left"/>
    </xf>
    <xf numFmtId="2" fontId="23" fillId="0" borderId="0" xfId="0" applyNumberFormat="1" applyFont="1"/>
    <xf numFmtId="3" fontId="23" fillId="0" borderId="0" xfId="0" applyNumberFormat="1" applyFont="1"/>
    <xf numFmtId="0" fontId="23" fillId="10" borderId="0" xfId="0" applyFont="1" applyFill="1"/>
    <xf numFmtId="3" fontId="18" fillId="10" borderId="0" xfId="0" applyNumberFormat="1" applyFont="1" applyFill="1"/>
    <xf numFmtId="3" fontId="23" fillId="0" borderId="0" xfId="0" applyNumberFormat="1" applyFont="1" applyFill="1"/>
    <xf numFmtId="0" fontId="18" fillId="0" borderId="19" xfId="0" applyFont="1" applyBorder="1"/>
    <xf numFmtId="0" fontId="6" fillId="10" borderId="0" xfId="0" applyFont="1" applyFill="1"/>
    <xf numFmtId="0" fontId="21" fillId="0" borderId="0" xfId="0" applyFont="1"/>
    <xf numFmtId="0" fontId="18" fillId="7" borderId="0" xfId="0" applyFont="1" applyFill="1"/>
    <xf numFmtId="0" fontId="18" fillId="7" borderId="0" xfId="0" applyFont="1" applyFill="1" applyAlignment="1">
      <alignment horizontal="center"/>
    </xf>
    <xf numFmtId="9" fontId="0" fillId="10" borderId="21" xfId="0" applyNumberFormat="1" applyFill="1" applyBorder="1"/>
    <xf numFmtId="9" fontId="0" fillId="10" borderId="16" xfId="0" applyNumberFormat="1" applyFill="1" applyBorder="1"/>
    <xf numFmtId="9" fontId="0" fillId="10" borderId="26" xfId="0" applyNumberFormat="1" applyFill="1" applyBorder="1"/>
    <xf numFmtId="1" fontId="18" fillId="0" borderId="0" xfId="0" applyNumberFormat="1" applyFont="1"/>
    <xf numFmtId="166" fontId="0" fillId="10" borderId="22" xfId="2" applyNumberFormat="1" applyFont="1" applyFill="1" applyBorder="1"/>
    <xf numFmtId="166" fontId="0" fillId="10" borderId="16" xfId="2" applyNumberFormat="1" applyFont="1" applyFill="1" applyBorder="1"/>
    <xf numFmtId="166" fontId="0" fillId="10" borderId="26" xfId="2" applyNumberFormat="1" applyFont="1" applyFill="1" applyBorder="1"/>
    <xf numFmtId="0" fontId="22" fillId="2" borderId="1" xfId="0" applyFont="1" applyFill="1" applyBorder="1" applyAlignment="1">
      <alignment horizontal="center"/>
    </xf>
    <xf numFmtId="9" fontId="0" fillId="10" borderId="0" xfId="2" applyFont="1" applyFill="1" applyAlignment="1">
      <alignment horizontal="center"/>
    </xf>
    <xf numFmtId="0" fontId="18" fillId="5" borderId="0" xfId="0" applyFont="1" applyFill="1" applyAlignment="1">
      <alignment horizontal="right"/>
    </xf>
    <xf numFmtId="0" fontId="18" fillId="5" borderId="0" xfId="0" applyFont="1" applyFill="1" applyAlignment="1">
      <alignment horizontal="center"/>
    </xf>
    <xf numFmtId="9" fontId="18" fillId="5" borderId="0" xfId="0" applyNumberFormat="1" applyFont="1" applyFill="1"/>
    <xf numFmtId="3" fontId="18" fillId="5" borderId="0" xfId="0" applyNumberFormat="1" applyFont="1" applyFill="1"/>
    <xf numFmtId="0" fontId="22" fillId="0" borderId="24" xfId="0" applyFont="1" applyBorder="1" applyAlignment="1">
      <alignment horizontal="right"/>
    </xf>
    <xf numFmtId="0" fontId="22" fillId="0" borderId="24" xfId="0" applyFont="1" applyBorder="1" applyAlignment="1">
      <alignment horizontal="center"/>
    </xf>
    <xf numFmtId="3" fontId="22" fillId="0" borderId="24" xfId="0" applyNumberFormat="1" applyFont="1" applyBorder="1"/>
    <xf numFmtId="0" fontId="22" fillId="5" borderId="31" xfId="0" applyFont="1" applyFill="1" applyBorder="1" applyAlignment="1">
      <alignment horizontal="right"/>
    </xf>
    <xf numFmtId="0" fontId="22" fillId="5" borderId="31" xfId="0" applyFont="1" applyFill="1" applyBorder="1" applyAlignment="1">
      <alignment horizontal="center"/>
    </xf>
    <xf numFmtId="3" fontId="22" fillId="5" borderId="31" xfId="0" applyNumberFormat="1" applyFont="1" applyFill="1" applyBorder="1"/>
    <xf numFmtId="0" fontId="18" fillId="10" borderId="0" xfId="0" applyFont="1" applyFill="1"/>
    <xf numFmtId="0" fontId="18" fillId="10" borderId="0" xfId="0" applyFont="1" applyFill="1" applyAlignment="1">
      <alignment horizontal="right"/>
    </xf>
    <xf numFmtId="3" fontId="22" fillId="2" borderId="1" xfId="0" applyNumberFormat="1" applyFont="1" applyFill="1" applyBorder="1" applyAlignment="1">
      <alignment horizontal="center"/>
    </xf>
    <xf numFmtId="3" fontId="22" fillId="5" borderId="1" xfId="0" applyNumberFormat="1" applyFont="1" applyFill="1" applyBorder="1" applyAlignment="1">
      <alignment horizontal="center"/>
    </xf>
    <xf numFmtId="164" fontId="18" fillId="0" borderId="0" xfId="0" applyNumberFormat="1" applyFont="1"/>
    <xf numFmtId="44" fontId="18" fillId="0" borderId="0" xfId="1" applyFont="1"/>
    <xf numFmtId="0" fontId="22" fillId="0" borderId="0" xfId="0" applyFont="1" applyAlignment="1">
      <alignment horizontal="center"/>
    </xf>
    <xf numFmtId="0" fontId="0" fillId="0" borderId="6" xfId="0" applyBorder="1" applyAlignment="1">
      <alignment horizontal="center"/>
    </xf>
    <xf numFmtId="0" fontId="0" fillId="0" borderId="10" xfId="0" applyBorder="1" applyAlignment="1">
      <alignment textRotation="90" wrapText="1"/>
    </xf>
    <xf numFmtId="0" fontId="19" fillId="2" borderId="10" xfId="0" applyFont="1" applyFill="1" applyBorder="1" applyAlignment="1">
      <alignment horizontal="center" vertical="center"/>
    </xf>
    <xf numFmtId="0" fontId="0" fillId="2" borderId="0" xfId="0" applyFill="1" applyAlignment="1">
      <alignment horizontal="center"/>
    </xf>
    <xf numFmtId="0" fontId="0" fillId="9" borderId="11" xfId="0" applyFill="1" applyBorder="1"/>
    <xf numFmtId="0" fontId="0" fillId="2" borderId="11" xfId="0" applyFill="1" applyBorder="1" applyAlignment="1">
      <alignment horizontal="left"/>
    </xf>
    <xf numFmtId="0" fontId="0" fillId="2" borderId="12" xfId="0" applyFill="1" applyBorder="1"/>
    <xf numFmtId="0" fontId="0" fillId="0" borderId="0" xfId="0" applyBorder="1" applyAlignment="1">
      <alignment horizontal="right"/>
    </xf>
    <xf numFmtId="0" fontId="0" fillId="0" borderId="5" xfId="0" applyBorder="1"/>
    <xf numFmtId="0" fontId="0" fillId="0" borderId="5" xfId="0" applyBorder="1" applyAlignment="1">
      <alignment horizontal="right" wrapText="1"/>
    </xf>
    <xf numFmtId="0" fontId="0" fillId="0" borderId="6" xfId="0" applyBorder="1" applyAlignment="1">
      <alignment horizontal="center" wrapText="1"/>
    </xf>
    <xf numFmtId="0" fontId="0" fillId="0" borderId="7" xfId="0" applyBorder="1" applyAlignment="1">
      <alignment horizontal="center" wrapText="1"/>
    </xf>
    <xf numFmtId="0" fontId="0" fillId="0" borderId="9" xfId="0" applyBorder="1" applyAlignment="1">
      <alignment horizontal="center" wrapText="1"/>
    </xf>
    <xf numFmtId="0" fontId="0" fillId="0" borderId="12" xfId="0" applyBorder="1" applyAlignment="1">
      <alignment horizontal="center" wrapText="1"/>
    </xf>
    <xf numFmtId="0" fontId="0" fillId="0" borderId="5" xfId="0" applyBorder="1" applyAlignment="1">
      <alignment horizontal="right" vertical="center" wrapText="1"/>
    </xf>
    <xf numFmtId="0" fontId="0" fillId="0" borderId="8" xfId="0" applyBorder="1" applyAlignment="1">
      <alignment horizontal="right" vertical="center" wrapText="1"/>
    </xf>
    <xf numFmtId="0" fontId="0" fillId="0" borderId="10" xfId="0" applyBorder="1" applyAlignment="1">
      <alignment horizontal="right" vertical="center" wrapText="1"/>
    </xf>
    <xf numFmtId="44" fontId="0" fillId="0" borderId="6" xfId="1" applyFont="1" applyFill="1" applyBorder="1" applyAlignment="1">
      <alignment horizontal="center" vertical="center" wrapText="1"/>
    </xf>
    <xf numFmtId="44" fontId="0" fillId="0" borderId="0" xfId="1" applyFont="1" applyFill="1" applyBorder="1" applyAlignment="1">
      <alignment horizontal="center" vertical="center" wrapText="1"/>
    </xf>
    <xf numFmtId="44" fontId="17" fillId="0" borderId="0" xfId="1" applyFont="1" applyBorder="1" applyAlignment="1">
      <alignment horizontal="center" vertical="center" wrapText="1"/>
    </xf>
    <xf numFmtId="10" fontId="0" fillId="0" borderId="0" xfId="0" applyNumberFormat="1" applyFill="1" applyBorder="1" applyAlignment="1">
      <alignment horizontal="center" vertical="center" wrapText="1"/>
    </xf>
    <xf numFmtId="0" fontId="0" fillId="0" borderId="0" xfId="0" applyNumberFormat="1" applyFill="1" applyBorder="1" applyAlignment="1">
      <alignment horizontal="center" vertical="center" wrapText="1"/>
    </xf>
    <xf numFmtId="164" fontId="17" fillId="0" borderId="11" xfId="0" applyNumberFormat="1" applyFont="1" applyBorder="1" applyAlignment="1">
      <alignment horizontal="center" vertical="center" wrapText="1"/>
    </xf>
    <xf numFmtId="0" fontId="0" fillId="0" borderId="0" xfId="0" applyBorder="1" applyAlignment="1">
      <alignment wrapText="1"/>
    </xf>
    <xf numFmtId="0" fontId="24" fillId="0" borderId="0" xfId="0" applyFont="1" applyFill="1" applyBorder="1" applyAlignment="1">
      <alignment wrapText="1"/>
    </xf>
    <xf numFmtId="0" fontId="24" fillId="0" borderId="0" xfId="0" applyFont="1" applyFill="1" applyBorder="1" applyAlignment="1">
      <alignment vertical="center"/>
    </xf>
    <xf numFmtId="0" fontId="3" fillId="6" borderId="11" xfId="0" applyFont="1" applyFill="1" applyBorder="1" applyAlignment="1">
      <alignment horizontal="right"/>
    </xf>
    <xf numFmtId="0" fontId="0" fillId="6" borderId="11" xfId="0" applyFont="1" applyFill="1" applyBorder="1" applyAlignment="1">
      <alignment horizontal="center"/>
    </xf>
    <xf numFmtId="0" fontId="0" fillId="6" borderId="11" xfId="0" applyFill="1" applyBorder="1" applyAlignment="1">
      <alignment horizontal="center"/>
    </xf>
    <xf numFmtId="0" fontId="25" fillId="0" borderId="0" xfId="0" applyFont="1" applyFill="1" applyBorder="1" applyAlignment="1">
      <alignment wrapText="1"/>
    </xf>
    <xf numFmtId="0" fontId="26" fillId="0" borderId="0" xfId="0" applyFont="1" applyFill="1" applyBorder="1" applyAlignment="1">
      <alignment wrapText="1"/>
    </xf>
    <xf numFmtId="0" fontId="26" fillId="0" borderId="0" xfId="0" applyFont="1" applyFill="1" applyBorder="1" applyAlignment="1">
      <alignment horizontal="right" wrapText="1"/>
    </xf>
    <xf numFmtId="0" fontId="3" fillId="0" borderId="0" xfId="0" applyFont="1" applyFill="1" applyBorder="1" applyAlignment="1">
      <alignment wrapText="1"/>
    </xf>
    <xf numFmtId="0" fontId="0" fillId="3" borderId="8" xfId="0" applyFill="1" applyBorder="1" applyAlignment="1">
      <alignment wrapText="1"/>
    </xf>
    <xf numFmtId="0" fontId="27" fillId="3" borderId="5" xfId="0" applyFont="1" applyFill="1" applyBorder="1" applyAlignment="1">
      <alignment wrapText="1"/>
    </xf>
    <xf numFmtId="0" fontId="0" fillId="3" borderId="10" xfId="0" applyFill="1" applyBorder="1" applyAlignment="1">
      <alignment wrapText="1"/>
    </xf>
    <xf numFmtId="0" fontId="3" fillId="0" borderId="0" xfId="0" applyFont="1" applyBorder="1" applyAlignment="1">
      <alignment wrapText="1"/>
    </xf>
    <xf numFmtId="0" fontId="0" fillId="0" borderId="0" xfId="0" applyFont="1"/>
    <xf numFmtId="0" fontId="0" fillId="0" borderId="0" xfId="0" applyFont="1" applyBorder="1"/>
    <xf numFmtId="0" fontId="0" fillId="0" borderId="0" xfId="0" applyFont="1" applyFill="1" applyBorder="1"/>
    <xf numFmtId="0" fontId="0" fillId="0" borderId="0" xfId="0" applyFont="1" applyBorder="1" applyAlignment="1">
      <alignment wrapText="1"/>
    </xf>
    <xf numFmtId="0" fontId="0" fillId="0" borderId="0" xfId="0" applyFont="1" applyFill="1" applyBorder="1" applyAlignment="1">
      <alignment wrapText="1"/>
    </xf>
    <xf numFmtId="0" fontId="0" fillId="3" borderId="7" xfId="0" applyFont="1" applyFill="1" applyBorder="1" applyAlignment="1">
      <alignment wrapText="1"/>
    </xf>
    <xf numFmtId="0" fontId="0" fillId="6" borderId="8" xfId="0" applyFont="1" applyFill="1" applyBorder="1" applyAlignment="1">
      <alignment wrapText="1"/>
    </xf>
    <xf numFmtId="0" fontId="0" fillId="6" borderId="9" xfId="0" applyFont="1" applyFill="1" applyBorder="1" applyAlignment="1">
      <alignment horizontal="right" wrapText="1"/>
    </xf>
    <xf numFmtId="0" fontId="0" fillId="12" borderId="8" xfId="0" applyFont="1" applyFill="1" applyBorder="1" applyAlignment="1">
      <alignment wrapText="1"/>
    </xf>
    <xf numFmtId="0" fontId="0" fillId="12" borderId="9" xfId="0" applyFont="1" applyFill="1" applyBorder="1" applyAlignment="1">
      <alignment wrapText="1"/>
    </xf>
    <xf numFmtId="0" fontId="0" fillId="8" borderId="8" xfId="0" applyFont="1" applyFill="1" applyBorder="1" applyAlignment="1">
      <alignment wrapText="1"/>
    </xf>
    <xf numFmtId="0" fontId="0" fillId="3" borderId="8" xfId="0" applyFont="1" applyFill="1" applyBorder="1" applyAlignment="1">
      <alignment wrapText="1"/>
    </xf>
    <xf numFmtId="0" fontId="0" fillId="3" borderId="9" xfId="0" applyFont="1" applyFill="1" applyBorder="1" applyAlignment="1">
      <alignment horizontal="right" wrapText="1"/>
    </xf>
    <xf numFmtId="0" fontId="0" fillId="13" borderId="8" xfId="0" applyFont="1" applyFill="1" applyBorder="1" applyAlignment="1">
      <alignment wrapText="1"/>
    </xf>
    <xf numFmtId="0" fontId="0" fillId="13" borderId="9" xfId="0" applyFont="1" applyFill="1" applyBorder="1" applyAlignment="1">
      <alignment horizontal="right" wrapText="1"/>
    </xf>
    <xf numFmtId="0" fontId="0" fillId="11" borderId="8" xfId="0" applyFont="1" applyFill="1" applyBorder="1" applyAlignment="1">
      <alignment wrapText="1"/>
    </xf>
    <xf numFmtId="9" fontId="0" fillId="11" borderId="9" xfId="0" applyNumberFormat="1" applyFont="1" applyFill="1" applyBorder="1" applyAlignment="1">
      <alignment horizontal="right" wrapText="1"/>
    </xf>
    <xf numFmtId="0" fontId="0" fillId="3" borderId="10" xfId="0" applyFont="1" applyFill="1" applyBorder="1" applyAlignment="1">
      <alignment wrapText="1"/>
    </xf>
    <xf numFmtId="0" fontId="0" fillId="3" borderId="12" xfId="0" applyFont="1" applyFill="1" applyBorder="1" applyAlignment="1">
      <alignment horizontal="right" wrapText="1"/>
    </xf>
    <xf numFmtId="9" fontId="0" fillId="8" borderId="9" xfId="2" applyFont="1" applyFill="1" applyBorder="1" applyAlignment="1">
      <alignment horizontal="right" wrapText="1"/>
    </xf>
    <xf numFmtId="0" fontId="10" fillId="0" borderId="0" xfId="5" applyFill="1" applyBorder="1" applyAlignment="1">
      <alignment wrapText="1"/>
    </xf>
    <xf numFmtId="0" fontId="0" fillId="0" borderId="0" xfId="0" applyFont="1" applyFill="1"/>
    <xf numFmtId="0" fontId="28" fillId="3" borderId="5" xfId="0" applyFont="1" applyFill="1" applyBorder="1" applyAlignment="1">
      <alignment horizontal="left" vertical="top" wrapText="1"/>
    </xf>
    <xf numFmtId="0" fontId="28" fillId="3" borderId="7" xfId="0" applyFont="1" applyFill="1" applyBorder="1" applyAlignment="1">
      <alignment horizontal="center" vertical="top" wrapText="1"/>
    </xf>
    <xf numFmtId="0" fontId="0" fillId="3" borderId="8" xfId="0" applyFont="1" applyFill="1" applyBorder="1" applyAlignment="1">
      <alignment horizontal="left" vertical="top" wrapText="1"/>
    </xf>
    <xf numFmtId="0" fontId="0" fillId="3" borderId="9" xfId="0" applyFont="1" applyFill="1" applyBorder="1" applyAlignment="1">
      <alignment horizontal="right" vertical="center" wrapText="1"/>
    </xf>
    <xf numFmtId="0" fontId="0" fillId="3" borderId="8" xfId="0" applyFont="1" applyFill="1" applyBorder="1" applyAlignment="1">
      <alignment vertical="top" wrapText="1"/>
    </xf>
    <xf numFmtId="0" fontId="3" fillId="3" borderId="8" xfId="0" applyFont="1" applyFill="1" applyBorder="1" applyAlignment="1">
      <alignment vertical="top" wrapText="1"/>
    </xf>
    <xf numFmtId="0" fontId="0" fillId="3" borderId="9" xfId="0" applyFont="1" applyFill="1" applyBorder="1" applyAlignment="1">
      <alignment horizontal="center" vertical="top" wrapText="1"/>
    </xf>
    <xf numFmtId="0" fontId="0" fillId="3" borderId="10" xfId="0" applyFont="1" applyFill="1" applyBorder="1" applyAlignment="1">
      <alignment vertical="top" wrapText="1"/>
    </xf>
    <xf numFmtId="0" fontId="0" fillId="3" borderId="12" xfId="0" applyFont="1" applyFill="1" applyBorder="1" applyAlignment="1">
      <alignment horizontal="right" vertical="center" wrapText="1"/>
    </xf>
    <xf numFmtId="0" fontId="0" fillId="2" borderId="8" xfId="0" applyFont="1" applyFill="1" applyBorder="1" applyAlignment="1">
      <alignment wrapText="1"/>
    </xf>
    <xf numFmtId="0" fontId="0" fillId="2" borderId="9" xfId="0" applyFont="1" applyFill="1" applyBorder="1" applyAlignment="1">
      <alignment horizontal="right" wrapText="1"/>
    </xf>
    <xf numFmtId="0" fontId="0" fillId="2" borderId="8" xfId="0" applyFont="1" applyFill="1" applyBorder="1" applyAlignment="1">
      <alignment vertical="top" wrapText="1"/>
    </xf>
    <xf numFmtId="0" fontId="0" fillId="2" borderId="9" xfId="0" applyFont="1" applyFill="1" applyBorder="1" applyAlignment="1">
      <alignment horizontal="right" vertical="center" wrapText="1"/>
    </xf>
    <xf numFmtId="0" fontId="0" fillId="16" borderId="8" xfId="0" applyFont="1" applyFill="1" applyBorder="1" applyAlignment="1">
      <alignment vertical="top" wrapText="1"/>
    </xf>
    <xf numFmtId="0" fontId="0" fillId="16" borderId="9" xfId="0" applyFont="1" applyFill="1" applyBorder="1" applyAlignment="1">
      <alignment horizontal="right" vertical="center" wrapText="1"/>
    </xf>
    <xf numFmtId="0" fontId="0" fillId="14" borderId="10" xfId="0" applyFont="1" applyFill="1" applyBorder="1" applyAlignment="1">
      <alignment wrapText="1"/>
    </xf>
    <xf numFmtId="0" fontId="0" fillId="14" borderId="12" xfId="0" applyFont="1" applyFill="1" applyBorder="1" applyAlignment="1">
      <alignment horizontal="right" wrapText="1"/>
    </xf>
    <xf numFmtId="0" fontId="0" fillId="14" borderId="10" xfId="0" applyFont="1" applyFill="1" applyBorder="1" applyAlignment="1">
      <alignment horizontal="left" vertical="top" wrapText="1"/>
    </xf>
    <xf numFmtId="0" fontId="0" fillId="14" borderId="12" xfId="0" applyFont="1" applyFill="1" applyBorder="1" applyAlignment="1">
      <alignment horizontal="right" vertical="center" wrapText="1"/>
    </xf>
    <xf numFmtId="0" fontId="19" fillId="0" borderId="0" xfId="0" applyFont="1" applyBorder="1" applyAlignment="1">
      <alignment wrapText="1"/>
    </xf>
    <xf numFmtId="0" fontId="16" fillId="0" borderId="0" xfId="5" applyFont="1" applyBorder="1" applyAlignment="1">
      <alignment wrapText="1"/>
    </xf>
    <xf numFmtId="0" fontId="19" fillId="0" borderId="0" xfId="0" applyFont="1"/>
    <xf numFmtId="0" fontId="19" fillId="0" borderId="0" xfId="0" applyFont="1" applyBorder="1"/>
    <xf numFmtId="0" fontId="3" fillId="0" borderId="0" xfId="0" applyFont="1" applyFill="1"/>
    <xf numFmtId="0" fontId="0" fillId="0" borderId="0" xfId="0" quotePrefix="1" applyFill="1"/>
    <xf numFmtId="0" fontId="3" fillId="17" borderId="5" xfId="0" applyFont="1" applyFill="1" applyBorder="1" applyAlignment="1">
      <alignment wrapText="1"/>
    </xf>
    <xf numFmtId="164" fontId="0" fillId="17" borderId="7" xfId="0" applyNumberFormat="1" applyFont="1" applyFill="1" applyBorder="1" applyAlignment="1">
      <alignment horizontal="right" wrapText="1"/>
    </xf>
    <xf numFmtId="0" fontId="3" fillId="17" borderId="8" xfId="0" applyFont="1" applyFill="1" applyBorder="1" applyAlignment="1">
      <alignment wrapText="1"/>
    </xf>
    <xf numFmtId="164" fontId="0" fillId="17" borderId="9" xfId="0" applyNumberFormat="1" applyFont="1" applyFill="1" applyBorder="1" applyAlignment="1">
      <alignment horizontal="right" wrapText="1"/>
    </xf>
    <xf numFmtId="0" fontId="3" fillId="17" borderId="10" xfId="0" applyFont="1" applyFill="1" applyBorder="1" applyAlignment="1">
      <alignment wrapText="1"/>
    </xf>
    <xf numFmtId="0" fontId="0" fillId="17" borderId="12" xfId="0" applyFont="1" applyFill="1" applyBorder="1" applyAlignment="1">
      <alignment horizontal="right" wrapText="1"/>
    </xf>
    <xf numFmtId="0" fontId="0" fillId="15" borderId="15" xfId="0" applyFill="1" applyBorder="1"/>
    <xf numFmtId="0" fontId="0" fillId="15" borderId="9" xfId="0" applyFill="1" applyBorder="1"/>
    <xf numFmtId="0" fontId="0" fillId="15" borderId="12" xfId="0" applyFill="1" applyBorder="1"/>
    <xf numFmtId="0" fontId="0" fillId="16" borderId="0" xfId="0" applyFill="1" applyBorder="1"/>
    <xf numFmtId="0" fontId="0" fillId="16" borderId="11" xfId="0" applyFill="1" applyBorder="1"/>
    <xf numFmtId="0" fontId="3" fillId="3" borderId="7" xfId="0" applyFont="1" applyFill="1" applyBorder="1" applyAlignment="1">
      <alignment horizontal="right"/>
    </xf>
    <xf numFmtId="44" fontId="0" fillId="0" borderId="0" xfId="0" applyNumberFormat="1" applyFill="1" applyBorder="1"/>
    <xf numFmtId="0" fontId="0" fillId="3" borderId="13" xfId="0" applyFont="1" applyFill="1" applyBorder="1" applyAlignment="1">
      <alignment horizontal="right" wrapText="1"/>
    </xf>
    <xf numFmtId="0" fontId="0" fillId="3" borderId="14" xfId="0" applyFont="1" applyFill="1" applyBorder="1" applyAlignment="1">
      <alignment horizontal="right" wrapText="1"/>
    </xf>
    <xf numFmtId="0" fontId="0" fillId="3" borderId="14" xfId="0" applyFont="1" applyFill="1" applyBorder="1"/>
    <xf numFmtId="0" fontId="0" fillId="3" borderId="13" xfId="0" applyFill="1" applyBorder="1"/>
    <xf numFmtId="0" fontId="0" fillId="3" borderId="14" xfId="0" applyFill="1" applyBorder="1"/>
    <xf numFmtId="0" fontId="0" fillId="3" borderId="14" xfId="0" applyFont="1" applyFill="1" applyBorder="1" applyAlignment="1">
      <alignment wrapText="1"/>
    </xf>
    <xf numFmtId="0" fontId="17" fillId="3" borderId="15" xfId="0" applyFont="1" applyFill="1" applyBorder="1"/>
    <xf numFmtId="0" fontId="29" fillId="0" borderId="0" xfId="0" applyFont="1" applyFill="1" applyBorder="1" applyAlignment="1">
      <alignment horizontal="center" vertical="center" wrapText="1"/>
    </xf>
    <xf numFmtId="0" fontId="17" fillId="0" borderId="0" xfId="0" applyFont="1" applyFill="1" applyBorder="1"/>
    <xf numFmtId="9" fontId="17" fillId="0" borderId="0" xfId="2" applyFont="1" applyFill="1" applyBorder="1"/>
    <xf numFmtId="164" fontId="17" fillId="0" borderId="0" xfId="0" applyNumberFormat="1" applyFont="1" applyFill="1" applyBorder="1"/>
    <xf numFmtId="0" fontId="17" fillId="0" borderId="0" xfId="0" applyFont="1" applyFill="1" applyBorder="1" applyAlignment="1">
      <alignment horizontal="center"/>
    </xf>
    <xf numFmtId="0" fontId="17" fillId="0" borderId="0" xfId="0" applyFont="1" applyFill="1" applyBorder="1" applyAlignment="1">
      <alignment wrapText="1"/>
    </xf>
    <xf numFmtId="0" fontId="3" fillId="0" borderId="0" xfId="0" applyFont="1" applyFill="1" applyBorder="1"/>
    <xf numFmtId="0" fontId="0" fillId="0" borderId="0" xfId="0" applyFont="1" applyFill="1" applyBorder="1" applyAlignment="1">
      <alignment horizontal="right" wrapText="1"/>
    </xf>
    <xf numFmtId="3" fontId="17" fillId="0" borderId="0" xfId="5" applyNumberFormat="1" applyFont="1" applyFill="1" applyBorder="1" applyAlignment="1">
      <alignment wrapText="1"/>
    </xf>
    <xf numFmtId="44" fontId="0" fillId="4" borderId="0" xfId="0" applyNumberFormat="1" applyFill="1" applyAlignment="1">
      <alignment horizontal="left"/>
    </xf>
    <xf numFmtId="44" fontId="0" fillId="4" borderId="0" xfId="0" applyNumberFormat="1" applyFill="1" applyAlignment="1">
      <alignment horizontal="center"/>
    </xf>
    <xf numFmtId="3" fontId="18" fillId="18" borderId="0" xfId="0" applyNumberFormat="1" applyFont="1" applyFill="1"/>
    <xf numFmtId="0" fontId="18" fillId="18" borderId="0" xfId="0" applyFont="1" applyFill="1" applyAlignment="1">
      <alignment horizontal="center"/>
    </xf>
    <xf numFmtId="10" fontId="18" fillId="0" borderId="0" xfId="0" applyNumberFormat="1" applyFont="1" applyFill="1"/>
    <xf numFmtId="0" fontId="18" fillId="19" borderId="0" xfId="0" applyFont="1" applyFill="1" applyAlignment="1">
      <alignment horizontal="right"/>
    </xf>
    <xf numFmtId="0" fontId="0" fillId="0" borderId="0" xfId="0" applyBorder="1" applyAlignment="1">
      <alignment horizontal="center" vertical="center" textRotation="90"/>
    </xf>
    <xf numFmtId="0" fontId="0" fillId="0" borderId="33" xfId="0" applyBorder="1" applyAlignment="1">
      <alignment horizontal="right"/>
    </xf>
    <xf numFmtId="164" fontId="0" fillId="0" borderId="36" xfId="0" applyNumberFormat="1" applyBorder="1"/>
    <xf numFmtId="0" fontId="0" fillId="0" borderId="38" xfId="0" applyBorder="1" applyAlignment="1">
      <alignment horizontal="right"/>
    </xf>
    <xf numFmtId="164" fontId="0" fillId="0" borderId="39" xfId="0" applyNumberFormat="1" applyBorder="1"/>
    <xf numFmtId="0" fontId="0" fillId="4" borderId="33" xfId="0" applyFill="1" applyBorder="1" applyAlignment="1">
      <alignment horizontal="right"/>
    </xf>
    <xf numFmtId="9" fontId="0" fillId="4" borderId="34" xfId="0" applyNumberFormat="1" applyFill="1" applyBorder="1"/>
    <xf numFmtId="0" fontId="0" fillId="4" borderId="0" xfId="0" applyFill="1" applyBorder="1" applyAlignment="1">
      <alignment horizontal="right"/>
    </xf>
    <xf numFmtId="44" fontId="0" fillId="4" borderId="36" xfId="3" applyNumberFormat="1" applyFont="1" applyFill="1" applyBorder="1"/>
    <xf numFmtId="164" fontId="0" fillId="0" borderId="34" xfId="0" applyNumberFormat="1" applyBorder="1"/>
    <xf numFmtId="2" fontId="0" fillId="0" borderId="36" xfId="0" applyNumberFormat="1" applyBorder="1"/>
    <xf numFmtId="0" fontId="0" fillId="20" borderId="33" xfId="0" applyFill="1" applyBorder="1" applyAlignment="1">
      <alignment horizontal="right"/>
    </xf>
    <xf numFmtId="164" fontId="0" fillId="20" borderId="34" xfId="0" applyNumberFormat="1" applyFill="1" applyBorder="1"/>
    <xf numFmtId="164" fontId="0" fillId="4" borderId="36" xfId="0" applyNumberFormat="1" applyFill="1" applyBorder="1"/>
    <xf numFmtId="0" fontId="0" fillId="4" borderId="38" xfId="0" applyFill="1" applyBorder="1" applyAlignment="1">
      <alignment horizontal="right"/>
    </xf>
    <xf numFmtId="164" fontId="0" fillId="4" borderId="39" xfId="0" applyNumberFormat="1" applyFill="1" applyBorder="1"/>
    <xf numFmtId="0" fontId="3" fillId="0" borderId="38" xfId="0" applyFont="1" applyBorder="1" applyAlignment="1">
      <alignment horizontal="right"/>
    </xf>
    <xf numFmtId="164" fontId="3" fillId="0" borderId="39" xfId="0" applyNumberFormat="1" applyFont="1" applyBorder="1"/>
    <xf numFmtId="168" fontId="17" fillId="0" borderId="0" xfId="2" applyNumberFormat="1" applyFont="1" applyFill="1" applyBorder="1"/>
    <xf numFmtId="10" fontId="0" fillId="0" borderId="0" xfId="2" applyNumberFormat="1" applyFont="1" applyFill="1" applyBorder="1" applyAlignment="1">
      <alignment horizontal="right" wrapText="1"/>
    </xf>
    <xf numFmtId="0" fontId="30" fillId="21" borderId="0" xfId="7"/>
    <xf numFmtId="0" fontId="30" fillId="21" borderId="0" xfId="7" applyBorder="1" applyAlignment="1">
      <alignment wrapText="1"/>
    </xf>
    <xf numFmtId="0" fontId="30" fillId="21" borderId="0" xfId="7" applyBorder="1"/>
    <xf numFmtId="168" fontId="30" fillId="21" borderId="0" xfId="7" applyNumberFormat="1" applyBorder="1"/>
    <xf numFmtId="164" fontId="30" fillId="21" borderId="0" xfId="7" applyNumberFormat="1" applyBorder="1"/>
    <xf numFmtId="0" fontId="30" fillId="21" borderId="0" xfId="7" applyBorder="1" applyAlignment="1">
      <alignment horizontal="center"/>
    </xf>
    <xf numFmtId="10" fontId="30" fillId="21" borderId="0" xfId="7" applyNumberFormat="1" applyBorder="1"/>
    <xf numFmtId="168" fontId="30" fillId="21" borderId="0" xfId="7" applyNumberFormat="1"/>
    <xf numFmtId="10" fontId="30" fillId="21" borderId="0" xfId="7" applyNumberFormat="1" applyBorder="1" applyAlignment="1">
      <alignment horizontal="right" wrapText="1"/>
    </xf>
    <xf numFmtId="0" fontId="0" fillId="0" borderId="0" xfId="0" applyAlignment="1">
      <alignment wrapText="1"/>
    </xf>
    <xf numFmtId="9" fontId="23" fillId="10" borderId="0" xfId="2" applyFont="1" applyFill="1" applyAlignment="1">
      <alignment horizontal="center"/>
    </xf>
    <xf numFmtId="3" fontId="23" fillId="10" borderId="0" xfId="0" applyNumberFormat="1" applyFont="1" applyFill="1" applyAlignment="1">
      <alignment horizontal="center"/>
    </xf>
    <xf numFmtId="0" fontId="22" fillId="0" borderId="0" xfId="0" applyFont="1" applyFill="1" applyAlignment="1">
      <alignment horizontal="left"/>
    </xf>
    <xf numFmtId="3" fontId="18" fillId="0" borderId="0" xfId="0" applyNumberFormat="1" applyFont="1" applyFill="1"/>
    <xf numFmtId="0" fontId="18" fillId="0" borderId="0" xfId="0" applyFont="1" applyFill="1" applyAlignment="1">
      <alignment horizontal="right"/>
    </xf>
    <xf numFmtId="0" fontId="9" fillId="2" borderId="0" xfId="0" applyFont="1" applyFill="1"/>
    <xf numFmtId="9" fontId="22" fillId="10" borderId="0" xfId="0" applyNumberFormat="1" applyFont="1" applyFill="1"/>
    <xf numFmtId="3" fontId="22" fillId="0" borderId="0" xfId="0" applyNumberFormat="1" applyFont="1"/>
    <xf numFmtId="0" fontId="9" fillId="10" borderId="0" xfId="0" applyFont="1" applyFill="1"/>
    <xf numFmtId="0" fontId="22" fillId="0" borderId="0" xfId="0" applyFont="1" applyAlignment="1">
      <alignment horizontal="right"/>
    </xf>
    <xf numFmtId="9" fontId="34" fillId="10" borderId="0" xfId="2" applyFont="1" applyFill="1" applyAlignment="1">
      <alignment horizontal="center" vertical="center"/>
    </xf>
    <xf numFmtId="0" fontId="22" fillId="0" borderId="0" xfId="0" applyFont="1" applyFill="1" applyAlignment="1">
      <alignment horizontal="right"/>
    </xf>
    <xf numFmtId="0" fontId="22" fillId="0" borderId="0" xfId="0" applyFont="1" applyFill="1" applyAlignment="1">
      <alignment horizontal="center"/>
    </xf>
    <xf numFmtId="0" fontId="22" fillId="0" borderId="0" xfId="0" applyFont="1" applyFill="1"/>
    <xf numFmtId="3" fontId="22" fillId="0" borderId="0" xfId="0" applyNumberFormat="1" applyFont="1" applyFill="1"/>
    <xf numFmtId="9" fontId="18" fillId="0" borderId="0" xfId="0" applyNumberFormat="1" applyFont="1" applyFill="1"/>
    <xf numFmtId="0" fontId="18" fillId="0" borderId="0" xfId="0" applyFont="1" applyFill="1" applyAlignment="1">
      <alignment horizontal="center"/>
    </xf>
    <xf numFmtId="4" fontId="18" fillId="0" borderId="0" xfId="0" applyNumberFormat="1" applyFont="1" applyFill="1"/>
    <xf numFmtId="0" fontId="33" fillId="0" borderId="0" xfId="0" applyFont="1" applyFill="1"/>
    <xf numFmtId="0" fontId="32" fillId="0" borderId="0" xfId="0" applyFont="1" applyFill="1" applyAlignment="1">
      <alignment horizontal="right"/>
    </xf>
    <xf numFmtId="0" fontId="32" fillId="0" borderId="0" xfId="0" applyFont="1" applyFill="1" applyAlignment="1">
      <alignment horizontal="center"/>
    </xf>
    <xf numFmtId="0" fontId="31" fillId="0" borderId="0" xfId="0" applyFont="1" applyFill="1"/>
    <xf numFmtId="3" fontId="32" fillId="0" borderId="0" xfId="0" applyNumberFormat="1" applyFont="1" applyFill="1"/>
    <xf numFmtId="9" fontId="32" fillId="0" borderId="0" xfId="0" applyNumberFormat="1" applyFont="1" applyFill="1" applyAlignment="1">
      <alignment horizontal="center"/>
    </xf>
    <xf numFmtId="0" fontId="23" fillId="0" borderId="0" xfId="0" applyFont="1" applyFill="1" applyAlignment="1">
      <alignment horizontal="right"/>
    </xf>
    <xf numFmtId="0" fontId="34" fillId="0" borderId="0" xfId="0" applyFont="1" applyFill="1" applyAlignment="1">
      <alignment horizontal="left"/>
    </xf>
    <xf numFmtId="0" fontId="5" fillId="22" borderId="0" xfId="0" applyFont="1" applyFill="1"/>
    <xf numFmtId="0" fontId="6" fillId="22" borderId="0" xfId="0" applyFont="1" applyFill="1"/>
    <xf numFmtId="0" fontId="9" fillId="22" borderId="0" xfId="0" applyFont="1" applyFill="1" applyAlignment="1">
      <alignment horizontal="left"/>
    </xf>
    <xf numFmtId="0" fontId="5" fillId="22" borderId="0" xfId="0" applyFont="1" applyFill="1" applyAlignment="1">
      <alignment horizontal="right"/>
    </xf>
    <xf numFmtId="0" fontId="5" fillId="22" borderId="0" xfId="0" applyFont="1" applyFill="1" applyAlignment="1">
      <alignment horizontal="center"/>
    </xf>
    <xf numFmtId="2" fontId="5" fillId="22" borderId="0" xfId="0" applyNumberFormat="1" applyFont="1" applyFill="1"/>
    <xf numFmtId="3" fontId="5" fillId="22" borderId="0" xfId="0" applyNumberFormat="1" applyFont="1" applyFill="1"/>
    <xf numFmtId="9" fontId="5" fillId="22" borderId="0" xfId="0" applyNumberFormat="1" applyFont="1" applyFill="1" applyAlignment="1">
      <alignment horizontal="center"/>
    </xf>
    <xf numFmtId="0" fontId="23" fillId="0" borderId="0" xfId="0" applyFont="1" applyFill="1" applyAlignment="1">
      <alignment horizontal="center"/>
    </xf>
    <xf numFmtId="0" fontId="5" fillId="0" borderId="0" xfId="0" applyFont="1" applyFill="1"/>
    <xf numFmtId="9" fontId="23" fillId="0" borderId="0" xfId="0" applyNumberFormat="1" applyFont="1" applyFill="1" applyAlignment="1">
      <alignment horizontal="center"/>
    </xf>
    <xf numFmtId="0" fontId="17" fillId="0" borderId="0" xfId="0" applyFont="1" applyFill="1"/>
    <xf numFmtId="10" fontId="18" fillId="0" borderId="0" xfId="2" applyNumberFormat="1" applyFont="1"/>
    <xf numFmtId="43" fontId="18" fillId="0" borderId="0" xfId="3" applyFont="1"/>
    <xf numFmtId="43" fontId="0" fillId="0" borderId="0" xfId="3" applyFont="1"/>
    <xf numFmtId="169" fontId="18" fillId="0" borderId="0" xfId="0" applyNumberFormat="1" applyFont="1" applyFill="1"/>
    <xf numFmtId="0" fontId="0" fillId="15" borderId="0" xfId="0" applyFill="1"/>
    <xf numFmtId="0" fontId="18" fillId="15" borderId="0" xfId="0" applyFont="1" applyFill="1"/>
    <xf numFmtId="0" fontId="23" fillId="0" borderId="0" xfId="0" applyFont="1" applyAlignment="1">
      <alignment horizontal="right"/>
    </xf>
    <xf numFmtId="0" fontId="34" fillId="0" borderId="0" xfId="0" applyFont="1" applyAlignment="1">
      <alignment horizontal="center"/>
    </xf>
    <xf numFmtId="10" fontId="34" fillId="5" borderId="1" xfId="2" applyNumberFormat="1" applyFont="1" applyFill="1" applyBorder="1" applyAlignment="1">
      <alignment horizontal="center"/>
    </xf>
    <xf numFmtId="9" fontId="0" fillId="10" borderId="1" xfId="2" applyFont="1" applyFill="1" applyBorder="1" applyAlignment="1">
      <alignment horizontal="center"/>
    </xf>
    <xf numFmtId="10" fontId="0" fillId="10" borderId="1" xfId="0" applyNumberFormat="1" applyFill="1" applyBorder="1" applyAlignment="1">
      <alignment horizontal="center"/>
    </xf>
    <xf numFmtId="43" fontId="34" fillId="5" borderId="1" xfId="3" applyFont="1" applyFill="1" applyBorder="1" applyAlignment="1"/>
    <xf numFmtId="3" fontId="23" fillId="10" borderId="1" xfId="0" applyNumberFormat="1" applyFont="1" applyFill="1" applyBorder="1" applyAlignment="1">
      <alignment horizontal="center"/>
    </xf>
    <xf numFmtId="10" fontId="34" fillId="10" borderId="1" xfId="2" applyNumberFormat="1" applyFont="1" applyFill="1" applyBorder="1" applyAlignment="1">
      <alignment horizontal="center"/>
    </xf>
    <xf numFmtId="0" fontId="23" fillId="16" borderId="0" xfId="0" applyFont="1" applyFill="1" applyAlignment="1">
      <alignment horizontal="right"/>
    </xf>
    <xf numFmtId="0" fontId="34" fillId="16" borderId="0" xfId="0" applyFont="1" applyFill="1" applyAlignment="1">
      <alignment horizontal="center"/>
    </xf>
    <xf numFmtId="0" fontId="23" fillId="16" borderId="0" xfId="0" applyFont="1" applyFill="1" applyAlignment="1">
      <alignment horizontal="center"/>
    </xf>
    <xf numFmtId="0" fontId="17" fillId="16" borderId="0" xfId="0" applyFont="1" applyFill="1" applyAlignment="1">
      <alignment horizontal="center"/>
    </xf>
    <xf numFmtId="9" fontId="34" fillId="0" borderId="0" xfId="0" applyNumberFormat="1" applyFont="1" applyAlignment="1">
      <alignment horizontal="center"/>
    </xf>
    <xf numFmtId="0" fontId="23" fillId="16" borderId="0" xfId="0" applyFont="1" applyFill="1"/>
    <xf numFmtId="10" fontId="17" fillId="16" borderId="0" xfId="0" applyNumberFormat="1" applyFont="1" applyFill="1" applyAlignment="1">
      <alignment horizontal="center"/>
    </xf>
    <xf numFmtId="10" fontId="0" fillId="0" borderId="0" xfId="0" applyNumberFormat="1"/>
    <xf numFmtId="3" fontId="0" fillId="0" borderId="0" xfId="0" applyNumberFormat="1"/>
    <xf numFmtId="1" fontId="0" fillId="0" borderId="0" xfId="0" applyNumberFormat="1" applyAlignment="1">
      <alignment horizontal="right"/>
    </xf>
    <xf numFmtId="170" fontId="0" fillId="0" borderId="0" xfId="2" applyNumberFormat="1" applyFont="1"/>
    <xf numFmtId="44" fontId="0" fillId="0" borderId="0" xfId="0" applyNumberFormat="1"/>
    <xf numFmtId="164" fontId="0" fillId="0" borderId="0" xfId="3" applyNumberFormat="1" applyFont="1"/>
    <xf numFmtId="0" fontId="3" fillId="0" borderId="0" xfId="0" applyFont="1" applyAlignment="1">
      <alignment horizontal="right"/>
    </xf>
    <xf numFmtId="0" fontId="0" fillId="0" borderId="0" xfId="0" applyFont="1" applyAlignment="1">
      <alignment horizontal="right"/>
    </xf>
    <xf numFmtId="0" fontId="35" fillId="0" borderId="0" xfId="0" applyFont="1"/>
    <xf numFmtId="10" fontId="35" fillId="0" borderId="0" xfId="0" applyNumberFormat="1" applyFont="1"/>
    <xf numFmtId="44" fontId="35" fillId="0" borderId="0" xfId="0" applyNumberFormat="1" applyFont="1"/>
    <xf numFmtId="1" fontId="35" fillId="0" borderId="0" xfId="0" applyNumberFormat="1" applyFont="1" applyAlignment="1">
      <alignment horizontal="right"/>
    </xf>
    <xf numFmtId="3" fontId="35" fillId="0" borderId="0" xfId="0" applyNumberFormat="1" applyFont="1"/>
    <xf numFmtId="164" fontId="35" fillId="0" borderId="0" xfId="0" applyNumberFormat="1" applyFont="1"/>
    <xf numFmtId="164" fontId="35" fillId="0" borderId="0" xfId="3" applyNumberFormat="1" applyFont="1"/>
    <xf numFmtId="170" fontId="35" fillId="0" borderId="0" xfId="2" applyNumberFormat="1" applyFont="1"/>
    <xf numFmtId="2" fontId="23" fillId="0" borderId="0" xfId="0" applyNumberFormat="1" applyFont="1" applyFill="1"/>
    <xf numFmtId="0" fontId="28" fillId="0" borderId="0" xfId="0" applyFont="1"/>
    <xf numFmtId="0" fontId="34" fillId="0" borderId="0" xfId="0" applyFont="1" applyAlignment="1">
      <alignment horizontal="right"/>
    </xf>
    <xf numFmtId="0" fontId="34" fillId="0" borderId="0" xfId="0" applyFont="1"/>
    <xf numFmtId="3" fontId="34" fillId="0" borderId="0" xfId="0" applyNumberFormat="1" applyFont="1" applyFill="1"/>
    <xf numFmtId="0" fontId="17" fillId="0" borderId="0" xfId="0" applyFont="1"/>
    <xf numFmtId="0" fontId="23" fillId="0" borderId="0" xfId="0" applyFont="1" applyAlignment="1">
      <alignment horizontal="center"/>
    </xf>
    <xf numFmtId="0" fontId="23" fillId="0" borderId="0" xfId="0" applyFont="1"/>
    <xf numFmtId="43" fontId="23" fillId="0" borderId="0" xfId="3" applyFont="1"/>
    <xf numFmtId="0" fontId="5" fillId="10" borderId="0" xfId="0" applyFont="1" applyFill="1"/>
    <xf numFmtId="0" fontId="23" fillId="0" borderId="0" xfId="0" applyFont="1" applyFill="1"/>
    <xf numFmtId="10" fontId="23" fillId="0" borderId="0" xfId="2" applyNumberFormat="1" applyFont="1" applyFill="1"/>
    <xf numFmtId="9" fontId="0" fillId="0" borderId="0" xfId="0" applyNumberFormat="1" applyFill="1" applyBorder="1"/>
    <xf numFmtId="9" fontId="0" fillId="10" borderId="22" xfId="0" applyNumberFormat="1" applyFill="1" applyBorder="1"/>
    <xf numFmtId="0" fontId="17" fillId="0" borderId="0" xfId="0" applyFont="1" applyFill="1" applyAlignment="1">
      <alignment wrapText="1"/>
    </xf>
    <xf numFmtId="1" fontId="0" fillId="0" borderId="0" xfId="0" applyNumberFormat="1" applyFont="1" applyFill="1" applyBorder="1" applyAlignment="1">
      <alignment wrapText="1"/>
    </xf>
    <xf numFmtId="1" fontId="0" fillId="0" borderId="0" xfId="0" applyNumberFormat="1" applyFill="1" applyAlignment="1">
      <alignment wrapText="1"/>
    </xf>
    <xf numFmtId="0" fontId="29" fillId="0" borderId="0" xfId="0" applyFont="1" applyAlignment="1">
      <alignment horizontal="center" vertical="center" wrapText="1"/>
    </xf>
    <xf numFmtId="3" fontId="17" fillId="0" borderId="0" xfId="0" applyNumberFormat="1" applyFont="1" applyFill="1" applyBorder="1"/>
    <xf numFmtId="3" fontId="30" fillId="21" borderId="0" xfId="7" applyNumberFormat="1" applyBorder="1"/>
    <xf numFmtId="1" fontId="18" fillId="10" borderId="1" xfId="0" applyNumberFormat="1" applyFont="1" applyFill="1" applyBorder="1" applyAlignment="1">
      <alignment horizontal="center"/>
    </xf>
    <xf numFmtId="1" fontId="18" fillId="0" borderId="1" xfId="0" applyNumberFormat="1" applyFont="1" applyBorder="1" applyAlignment="1">
      <alignment horizontal="center"/>
    </xf>
    <xf numFmtId="0" fontId="0" fillId="0" borderId="5" xfId="0" applyBorder="1" applyAlignment="1">
      <alignment textRotation="90" wrapText="1"/>
    </xf>
    <xf numFmtId="0" fontId="0" fillId="0" borderId="8" xfId="0" applyBorder="1" applyAlignment="1">
      <alignment textRotation="90" wrapText="1"/>
    </xf>
    <xf numFmtId="0" fontId="3" fillId="3" borderId="5" xfId="0" applyFont="1" applyFill="1" applyBorder="1" applyAlignment="1">
      <alignment horizontal="center" wrapText="1"/>
    </xf>
    <xf numFmtId="0" fontId="3" fillId="3" borderId="6" xfId="0" applyFont="1" applyFill="1" applyBorder="1" applyAlignment="1">
      <alignment horizontal="center" wrapText="1"/>
    </xf>
    <xf numFmtId="0" fontId="0" fillId="0" borderId="5" xfId="0" applyBorder="1" applyAlignment="1">
      <alignment vertical="center" textRotation="90" wrapText="1"/>
    </xf>
    <xf numFmtId="0" fontId="0" fillId="0" borderId="8" xfId="0" applyBorder="1" applyAlignment="1">
      <alignment vertical="center" textRotation="90" wrapText="1"/>
    </xf>
    <xf numFmtId="0" fontId="0" fillId="0" borderId="10" xfId="0" applyBorder="1" applyAlignment="1">
      <alignment vertical="center" textRotation="90" wrapText="1"/>
    </xf>
    <xf numFmtId="0" fontId="19" fillId="2" borderId="5" xfId="0" applyFont="1" applyFill="1" applyBorder="1" applyAlignment="1">
      <alignment horizontal="center" wrapText="1"/>
    </xf>
    <xf numFmtId="0" fontId="19" fillId="2" borderId="10" xfId="0" applyFont="1" applyFill="1" applyBorder="1" applyAlignment="1">
      <alignment horizontal="center" wrapText="1"/>
    </xf>
    <xf numFmtId="0" fontId="0" fillId="0" borderId="5" xfId="0" applyBorder="1" applyAlignment="1">
      <alignment horizontal="center" vertical="center" textRotation="90" wrapText="1"/>
    </xf>
    <xf numFmtId="0" fontId="0" fillId="0" borderId="8" xfId="0" applyBorder="1" applyAlignment="1">
      <alignment horizontal="center" vertical="center" textRotation="90" wrapText="1"/>
    </xf>
    <xf numFmtId="0" fontId="0" fillId="0" borderId="8" xfId="0" applyBorder="1" applyAlignment="1">
      <alignment horizontal="center" vertical="center" wrapText="1"/>
    </xf>
    <xf numFmtId="0" fontId="0" fillId="0" borderId="10" xfId="0" applyBorder="1" applyAlignment="1">
      <alignment horizontal="center" vertical="center" wrapText="1"/>
    </xf>
    <xf numFmtId="0" fontId="19" fillId="2" borderId="5" xfId="0" applyFont="1" applyFill="1" applyBorder="1" applyAlignment="1">
      <alignment horizontal="center" vertical="center" textRotation="90" wrapText="1"/>
    </xf>
    <xf numFmtId="0" fontId="0" fillId="0" borderId="10" xfId="0" applyBorder="1" applyAlignment="1">
      <alignment horizontal="center" vertical="center" textRotation="90" wrapText="1"/>
    </xf>
    <xf numFmtId="3" fontId="18" fillId="0" borderId="0" xfId="0" applyNumberFormat="1" applyFont="1" applyAlignment="1">
      <alignment horizontal="center"/>
    </xf>
    <xf numFmtId="0" fontId="0" fillId="0" borderId="32" xfId="0" applyBorder="1" applyAlignment="1">
      <alignment horizontal="center" vertical="center" textRotation="45"/>
    </xf>
    <xf numFmtId="0" fontId="0" fillId="0" borderId="35" xfId="0" applyBorder="1" applyAlignment="1">
      <alignment horizontal="center" vertical="center" textRotation="45"/>
    </xf>
    <xf numFmtId="0" fontId="0" fillId="0" borderId="37" xfId="0" applyBorder="1" applyAlignment="1">
      <alignment horizontal="center" vertical="center" textRotation="45"/>
    </xf>
    <xf numFmtId="0" fontId="0" fillId="0" borderId="32" xfId="0" applyBorder="1" applyAlignment="1">
      <alignment horizontal="center" vertical="center" textRotation="45" wrapText="1"/>
    </xf>
    <xf numFmtId="0" fontId="0" fillId="0" borderId="35" xfId="0" applyBorder="1" applyAlignment="1">
      <alignment horizontal="center" vertical="center" textRotation="45" wrapText="1"/>
    </xf>
    <xf numFmtId="0" fontId="0" fillId="0" borderId="37" xfId="0" applyBorder="1" applyAlignment="1">
      <alignment horizontal="center" vertical="center" textRotation="45" wrapText="1"/>
    </xf>
    <xf numFmtId="0" fontId="0" fillId="10" borderId="22" xfId="0" applyFill="1" applyBorder="1" applyAlignment="1">
      <alignment horizontal="center" vertical="center" wrapText="1"/>
    </xf>
    <xf numFmtId="0" fontId="0" fillId="10" borderId="16" xfId="0" applyFill="1" applyBorder="1" applyAlignment="1">
      <alignment horizontal="center" vertical="center" wrapText="1"/>
    </xf>
    <xf numFmtId="0" fontId="0" fillId="3" borderId="16" xfId="0" applyFill="1" applyBorder="1" applyAlignment="1">
      <alignment horizontal="center" vertical="center"/>
    </xf>
    <xf numFmtId="0" fontId="0" fillId="3" borderId="26" xfId="0" applyFill="1" applyBorder="1" applyAlignment="1">
      <alignment horizontal="center" vertical="center"/>
    </xf>
    <xf numFmtId="0" fontId="11" fillId="3" borderId="0" xfId="0" applyFont="1" applyFill="1" applyAlignment="1">
      <alignment horizontal="left" vertical="center"/>
    </xf>
    <xf numFmtId="0" fontId="6" fillId="3" borderId="0" xfId="0" applyFont="1" applyFill="1" applyAlignment="1">
      <alignment horizontal="left"/>
    </xf>
    <xf numFmtId="0" fontId="6" fillId="3" borderId="0" xfId="0" applyFont="1" applyFill="1" applyAlignment="1">
      <alignment horizontal="left" wrapText="1"/>
    </xf>
    <xf numFmtId="0" fontId="3" fillId="3" borderId="0" xfId="0" applyFont="1" applyFill="1" applyAlignment="1">
      <alignment horizontal="left"/>
    </xf>
    <xf numFmtId="0" fontId="0" fillId="3" borderId="22" xfId="0" applyFill="1" applyBorder="1" applyAlignment="1">
      <alignment horizontal="center" vertical="center"/>
    </xf>
    <xf numFmtId="0" fontId="3" fillId="3" borderId="17" xfId="0" applyFont="1" applyFill="1" applyBorder="1" applyAlignment="1">
      <alignment horizontal="center"/>
    </xf>
    <xf numFmtId="0" fontId="3" fillId="3" borderId="27" xfId="0" applyFont="1" applyFill="1" applyBorder="1" applyAlignment="1">
      <alignment horizontal="center"/>
    </xf>
    <xf numFmtId="0" fontId="5" fillId="3" borderId="0" xfId="0" applyFont="1" applyFill="1" applyAlignment="1">
      <alignment horizontal="left"/>
    </xf>
    <xf numFmtId="0" fontId="3" fillId="3" borderId="22" xfId="0" applyFont="1" applyFill="1" applyBorder="1" applyAlignment="1">
      <alignment horizontal="left"/>
    </xf>
    <xf numFmtId="0" fontId="3" fillId="3" borderId="16" xfId="0" applyFont="1" applyFill="1" applyBorder="1" applyAlignment="1">
      <alignment horizontal="left"/>
    </xf>
    <xf numFmtId="0" fontId="3" fillId="3" borderId="26" xfId="0" applyFont="1" applyFill="1" applyBorder="1" applyAlignment="1">
      <alignment horizontal="left"/>
    </xf>
    <xf numFmtId="0" fontId="3" fillId="3" borderId="23" xfId="0" applyFont="1" applyFill="1" applyBorder="1" applyAlignment="1">
      <alignment horizontal="center"/>
    </xf>
    <xf numFmtId="0" fontId="3" fillId="3" borderId="24" xfId="0" applyFont="1" applyFill="1" applyBorder="1" applyAlignment="1">
      <alignment horizontal="center"/>
    </xf>
    <xf numFmtId="0" fontId="3" fillId="3" borderId="25" xfId="0" applyFont="1" applyFill="1" applyBorder="1" applyAlignment="1">
      <alignment horizontal="center"/>
    </xf>
    <xf numFmtId="0" fontId="3" fillId="3" borderId="23" xfId="0" applyFont="1" applyFill="1" applyBorder="1" applyAlignment="1">
      <alignment horizontal="right"/>
    </xf>
    <xf numFmtId="0" fontId="3" fillId="3" borderId="24" xfId="0" applyFont="1" applyFill="1" applyBorder="1" applyAlignment="1">
      <alignment horizontal="right"/>
    </xf>
    <xf numFmtId="0" fontId="3" fillId="3" borderId="25" xfId="0" applyFont="1" applyFill="1" applyBorder="1" applyAlignment="1">
      <alignment horizontal="right"/>
    </xf>
  </cellXfs>
  <cellStyles count="8">
    <cellStyle name="Comma" xfId="3" builtinId="3"/>
    <cellStyle name="Currency" xfId="1" builtinId="4"/>
    <cellStyle name="Hyperlink" xfId="5" builtinId="8"/>
    <cellStyle name="Neutral" xfId="7" builtinId="28"/>
    <cellStyle name="Normal" xfId="0" builtinId="0"/>
    <cellStyle name="Normal 2" xfId="6" xr:uid="{00000000-0005-0000-0000-000004000000}"/>
    <cellStyle name="Normal_Sheet2 2" xfId="4" xr:uid="{00000000-0005-0000-0000-000005000000}"/>
    <cellStyle name="Percent" xfId="2" builtinId="5"/>
  </cellStyles>
  <dxfs count="0"/>
  <tableStyles count="0" defaultTableStyle="TableStyleMedium2" defaultPivotStyle="PivotStyleLight16"/>
  <colors>
    <mruColors>
      <color rgb="FFFFCCCC"/>
      <color rgb="FFFF6699"/>
      <color rgb="FFFF7979"/>
      <color rgb="FFFFB7B7"/>
      <color rgb="FFFF1515"/>
      <color rgb="FFCC00CC"/>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53340</xdr:colOff>
      <xdr:row>1</xdr:row>
      <xdr:rowOff>38100</xdr:rowOff>
    </xdr:from>
    <xdr:to>
      <xdr:col>15</xdr:col>
      <xdr:colOff>449580</xdr:colOff>
      <xdr:row>46</xdr:row>
      <xdr:rowOff>60960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62940" y="220980"/>
          <a:ext cx="8930640" cy="82524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a:solidFill>
                <a:schemeClr val="dk1"/>
              </a:solidFill>
              <a:effectLst/>
              <a:latin typeface="+mn-lt"/>
              <a:ea typeface="+mn-ea"/>
              <a:cs typeface="+mn-cs"/>
            </a:rPr>
            <a:t>Hi all,</a:t>
          </a:r>
        </a:p>
        <a:p>
          <a:endParaRPr lang="en-GB" sz="1100" b="1" i="0">
            <a:solidFill>
              <a:schemeClr val="dk1"/>
            </a:solidFill>
            <a:effectLst/>
            <a:latin typeface="+mn-lt"/>
            <a:ea typeface="+mn-ea"/>
            <a:cs typeface="+mn-cs"/>
          </a:endParaRPr>
        </a:p>
        <a:p>
          <a:r>
            <a:rPr lang="en-GB" sz="1100" b="1" i="0">
              <a:solidFill>
                <a:schemeClr val="dk1"/>
              </a:solidFill>
              <a:effectLst/>
              <a:latin typeface="+mn-lt"/>
              <a:ea typeface="+mn-ea"/>
              <a:cs typeface="+mn-cs"/>
            </a:rPr>
            <a:t>This</a:t>
          </a:r>
          <a:r>
            <a:rPr lang="en-GB" sz="1100" b="1" i="0" baseline="0">
              <a:solidFill>
                <a:schemeClr val="dk1"/>
              </a:solidFill>
              <a:effectLst/>
              <a:latin typeface="+mn-lt"/>
              <a:ea typeface="+mn-ea"/>
              <a:cs typeface="+mn-cs"/>
            </a:rPr>
            <a:t> is the calculator for facilitating a Community Renewable Energy Project (CREP), it is only to be accessed by the people listed below (i.e. do not share this with anyone):</a:t>
          </a:r>
        </a:p>
        <a:p>
          <a:endParaRPr lang="en-GB" sz="1100" b="1" i="0" baseline="0">
            <a:solidFill>
              <a:schemeClr val="dk1"/>
            </a:solidFill>
            <a:effectLst/>
            <a:latin typeface="+mn-lt"/>
            <a:ea typeface="+mn-ea"/>
            <a:cs typeface="+mn-cs"/>
          </a:endParaRPr>
        </a:p>
        <a:p>
          <a:r>
            <a:rPr lang="en-GB" sz="1100" b="0" i="0" baseline="0">
              <a:solidFill>
                <a:schemeClr val="dk1"/>
              </a:solidFill>
              <a:effectLst/>
              <a:latin typeface="+mn-lt"/>
              <a:ea typeface="+mn-ea"/>
              <a:cs typeface="+mn-cs"/>
            </a:rPr>
            <a:t>- Orson Auvermann, Ed Booth, Chris Hocknell, Ed Terpilowski-Gill, Margaret Sadler, Tabassum Sharif, and Rupert Nelson.</a:t>
          </a:r>
        </a:p>
        <a:p>
          <a:endParaRPr lang="en-GB" sz="1100" b="1" i="0" baseline="0">
            <a:solidFill>
              <a:schemeClr val="dk1"/>
            </a:solidFill>
            <a:effectLst/>
            <a:latin typeface="+mn-lt"/>
            <a:ea typeface="+mn-ea"/>
            <a:cs typeface="+mn-cs"/>
          </a:endParaRPr>
        </a:p>
        <a:p>
          <a:r>
            <a:rPr lang="en-GB" sz="1100" b="1" i="0" baseline="0">
              <a:solidFill>
                <a:schemeClr val="dk1"/>
              </a:solidFill>
              <a:effectLst/>
              <a:latin typeface="+mn-lt"/>
              <a:ea typeface="+mn-ea"/>
              <a:cs typeface="+mn-cs"/>
            </a:rPr>
            <a:t>When you download change the file name to include your initials, so that you have an independent copy that won't get muddled should you wish to share it at a later date - luckily none of you have the same initials!</a:t>
          </a:r>
        </a:p>
        <a:p>
          <a:endParaRPr lang="en-GB" sz="1100" b="1" i="0" baseline="0">
            <a:solidFill>
              <a:schemeClr val="dk1"/>
            </a:solidFill>
            <a:effectLst/>
            <a:latin typeface="+mn-lt"/>
            <a:ea typeface="+mn-ea"/>
            <a:cs typeface="+mn-cs"/>
          </a:endParaRPr>
        </a:p>
        <a:p>
          <a:r>
            <a:rPr lang="en-GB" sz="1100" b="1" i="0" baseline="0">
              <a:solidFill>
                <a:srgbClr val="FF0000"/>
              </a:solidFill>
              <a:effectLst/>
              <a:latin typeface="+mn-lt"/>
              <a:ea typeface="+mn-ea"/>
              <a:cs typeface="+mn-cs"/>
            </a:rPr>
            <a:t>Important:</a:t>
          </a:r>
        </a:p>
        <a:p>
          <a:r>
            <a:rPr lang="en-GB" sz="1100" b="0" i="0" u="sng">
              <a:solidFill>
                <a:schemeClr val="dk1"/>
              </a:solidFill>
              <a:effectLst/>
              <a:latin typeface="+mn-lt"/>
              <a:ea typeface="+mn-ea"/>
              <a:cs typeface="+mn-cs"/>
            </a:rPr>
            <a:t>You will need to enable Macro (look</a:t>
          </a:r>
          <a:r>
            <a:rPr lang="en-GB" sz="1100" b="0" i="0" u="sng" baseline="0">
              <a:solidFill>
                <a:schemeClr val="dk1"/>
              </a:solidFill>
              <a:effectLst/>
              <a:latin typeface="+mn-lt"/>
              <a:ea typeface="+mn-ea"/>
              <a:cs typeface="+mn-cs"/>
            </a:rPr>
            <a:t> out for the yellow bar above the spreadsheet) and follow the following steps to enable the solver functionality, details to add solver are below (this is v. important otherwise the spreadsheet automation will not work)</a:t>
          </a:r>
          <a:endParaRPr lang="en-GB" sz="1100" b="0" i="0" u="sng">
            <a:solidFill>
              <a:schemeClr val="dk1"/>
            </a:solidFill>
            <a:effectLst/>
            <a:latin typeface="+mn-lt"/>
            <a:ea typeface="+mn-ea"/>
            <a:cs typeface="+mn-cs"/>
          </a:endParaRPr>
        </a:p>
        <a:p>
          <a:endParaRPr lang="en-GB" sz="1100" b="0" i="0" u="sng">
            <a:solidFill>
              <a:schemeClr val="dk1"/>
            </a:solidFill>
            <a:effectLst/>
            <a:latin typeface="+mn-lt"/>
            <a:ea typeface="+mn-ea"/>
            <a:cs typeface="+mn-cs"/>
          </a:endParaRPr>
        </a:p>
        <a:p>
          <a:r>
            <a:rPr lang="en-GB" sz="1100" b="0" i="0" u="sng">
              <a:solidFill>
                <a:schemeClr val="dk1"/>
              </a:solidFill>
              <a:effectLst/>
              <a:latin typeface="+mn-lt"/>
              <a:ea typeface="+mn-ea"/>
              <a:cs typeface="+mn-cs"/>
            </a:rPr>
            <a:t>Load the Solver Add-in in Excel</a:t>
          </a:r>
        </a:p>
        <a:p>
          <a:r>
            <a:rPr lang="en-GB" sz="1100" b="0" i="0" u="sng">
              <a:solidFill>
                <a:schemeClr val="dk1"/>
              </a:solidFill>
              <a:effectLst/>
              <a:latin typeface="+mn-lt"/>
              <a:ea typeface="+mn-ea"/>
              <a:cs typeface="+mn-cs"/>
            </a:rPr>
            <a:t>In Excel 2010 and later, go to File &gt; Options. ...</a:t>
          </a:r>
        </a:p>
        <a:p>
          <a:r>
            <a:rPr lang="en-GB" sz="1100" b="0" i="0" u="sng">
              <a:solidFill>
                <a:schemeClr val="dk1"/>
              </a:solidFill>
              <a:effectLst/>
              <a:latin typeface="+mn-lt"/>
              <a:ea typeface="+mn-ea"/>
              <a:cs typeface="+mn-cs"/>
            </a:rPr>
            <a:t>Click Add-Ins, and then in the Manage box, select Excel Add-ins.</a:t>
          </a:r>
        </a:p>
        <a:p>
          <a:r>
            <a:rPr lang="en-GB" sz="1100" b="0" i="0" u="sng">
              <a:solidFill>
                <a:schemeClr val="dk1"/>
              </a:solidFill>
              <a:effectLst/>
              <a:latin typeface="+mn-lt"/>
              <a:ea typeface="+mn-ea"/>
              <a:cs typeface="+mn-cs"/>
            </a:rPr>
            <a:t>Click Go.</a:t>
          </a:r>
        </a:p>
        <a:p>
          <a:r>
            <a:rPr lang="en-GB" sz="1100" b="0" i="0" u="sng">
              <a:solidFill>
                <a:schemeClr val="dk1"/>
              </a:solidFill>
              <a:effectLst/>
              <a:latin typeface="+mn-lt"/>
              <a:ea typeface="+mn-ea"/>
              <a:cs typeface="+mn-cs"/>
            </a:rPr>
            <a:t>In the Add-Ins available box, select the Solver Add-in check box, and then click OK. ...</a:t>
          </a:r>
        </a:p>
        <a:p>
          <a:r>
            <a:rPr lang="en-GB" sz="1100" b="0" i="0" u="sng">
              <a:solidFill>
                <a:schemeClr val="dk1"/>
              </a:solidFill>
              <a:effectLst/>
              <a:latin typeface="+mn-lt"/>
              <a:ea typeface="+mn-ea"/>
              <a:cs typeface="+mn-cs"/>
            </a:rPr>
            <a:t>After you load the Solver Add-in, the Solver command is available in the Analysis group on the Data tab.</a:t>
          </a:r>
        </a:p>
        <a:p>
          <a:endParaRPr lang="en-GB" sz="1100" b="0" i="0">
            <a:solidFill>
              <a:schemeClr val="dk1"/>
            </a:solidFill>
            <a:effectLst/>
            <a:latin typeface="+mn-lt"/>
            <a:ea typeface="+mn-ea"/>
            <a:cs typeface="+mn-cs"/>
          </a:endParaRPr>
        </a:p>
        <a:p>
          <a:r>
            <a:rPr lang="en-GB" sz="1100" b="1" i="0">
              <a:solidFill>
                <a:schemeClr val="dk1"/>
              </a:solidFill>
              <a:effectLst/>
              <a:latin typeface="+mn-lt"/>
              <a:ea typeface="+mn-ea"/>
              <a:cs typeface="+mn-cs"/>
            </a:rPr>
            <a:t>Key to the tabs:</a:t>
          </a:r>
        </a:p>
        <a:p>
          <a:r>
            <a:rPr lang="en-GB" sz="1100" b="0" i="0">
              <a:solidFill>
                <a:schemeClr val="dk1"/>
              </a:solidFill>
              <a:effectLst/>
              <a:latin typeface="+mn-lt"/>
              <a:ea typeface="+mn-ea"/>
              <a:cs typeface="+mn-cs"/>
            </a:rPr>
            <a:t>1.</a:t>
          </a:r>
          <a:r>
            <a:rPr lang="en-GB" sz="1100" b="0" i="0" baseline="0">
              <a:solidFill>
                <a:schemeClr val="dk1"/>
              </a:solidFill>
              <a:effectLst/>
              <a:latin typeface="+mn-lt"/>
              <a:ea typeface="+mn-ea"/>
              <a:cs typeface="+mn-cs"/>
            </a:rPr>
            <a:t> Site Details is where we add in the number of households in a project.</a:t>
          </a:r>
        </a:p>
        <a:p>
          <a:r>
            <a:rPr lang="en-GB" sz="1100" b="0" i="0" baseline="0">
              <a:solidFill>
                <a:schemeClr val="dk1"/>
              </a:solidFill>
              <a:effectLst/>
              <a:latin typeface="+mn-lt"/>
              <a:ea typeface="+mn-ea"/>
              <a:cs typeface="+mn-cs"/>
            </a:rPr>
            <a:t>2. Hardware is where we select the hardware for the project (Orson and Ed T-G are currently working on some product information for this)</a:t>
          </a:r>
        </a:p>
        <a:p>
          <a:r>
            <a:rPr lang="en-GB" sz="1100" b="0" i="0" baseline="0">
              <a:solidFill>
                <a:schemeClr val="dk1"/>
              </a:solidFill>
              <a:effectLst/>
              <a:latin typeface="+mn-lt"/>
              <a:ea typeface="+mn-ea"/>
              <a:cs typeface="+mn-cs"/>
            </a:rPr>
            <a:t>3. Installation is where we will incorporate the costs of installation (Chris H. is working on estimating the installation costs for this)</a:t>
          </a:r>
        </a:p>
        <a:p>
          <a:endParaRPr lang="en-GB" sz="1100" b="0" i="0" baseline="0">
            <a:solidFill>
              <a:schemeClr val="dk1"/>
            </a:solidFill>
            <a:effectLst/>
            <a:latin typeface="+mn-lt"/>
            <a:ea typeface="+mn-ea"/>
            <a:cs typeface="+mn-cs"/>
          </a:endParaRPr>
        </a:p>
        <a:p>
          <a:r>
            <a:rPr lang="en-GB" sz="1100" b="0" i="0" baseline="0">
              <a:solidFill>
                <a:schemeClr val="dk1"/>
              </a:solidFill>
              <a:effectLst/>
              <a:latin typeface="+mn-lt"/>
              <a:ea typeface="+mn-ea"/>
              <a:cs typeface="+mn-cs"/>
            </a:rPr>
            <a:t>NB: while these are being worked on, and in order to get closer to non-consumer costs please rewrite over the total value in 4a. Cost Summarries with a value of £5,000,000.00.</a:t>
          </a:r>
        </a:p>
        <a:p>
          <a:endParaRPr lang="en-GB" sz="1100" b="0" i="0" baseline="0">
            <a:solidFill>
              <a:schemeClr val="dk1"/>
            </a:solidFill>
            <a:effectLst/>
            <a:latin typeface="+mn-lt"/>
            <a:ea typeface="+mn-ea"/>
            <a:cs typeface="+mn-cs"/>
          </a:endParaRPr>
        </a:p>
        <a:p>
          <a:r>
            <a:rPr lang="en-GB" sz="1100" b="0" i="0" baseline="0">
              <a:solidFill>
                <a:schemeClr val="dk1"/>
              </a:solidFill>
              <a:effectLst/>
              <a:latin typeface="+mn-lt"/>
              <a:ea typeface="+mn-ea"/>
              <a:cs typeface="+mn-cs"/>
            </a:rPr>
            <a:t>4a. is where the costs are summarised, and the Site Cashflow operates from cell D5 (the Total Cost summary)</a:t>
          </a:r>
        </a:p>
        <a:p>
          <a:r>
            <a:rPr lang="en-GB" sz="1100" b="0" i="0" baseline="0">
              <a:solidFill>
                <a:schemeClr val="dk1"/>
              </a:solidFill>
              <a:effectLst/>
              <a:latin typeface="+mn-lt"/>
              <a:ea typeface="+mn-ea"/>
              <a:cs typeface="+mn-cs"/>
            </a:rPr>
            <a:t>4b. Energy Summarries are the outputs from the project (these will operate from the products that are currently being worked on, so are not final)</a:t>
          </a:r>
        </a:p>
        <a:p>
          <a:endParaRPr lang="en-GB" sz="1100" b="0" i="0" baseline="0">
            <a:solidFill>
              <a:schemeClr val="dk1"/>
            </a:solidFill>
            <a:effectLst/>
            <a:latin typeface="+mn-lt"/>
            <a:ea typeface="+mn-ea"/>
            <a:cs typeface="+mn-cs"/>
          </a:endParaRPr>
        </a:p>
        <a:p>
          <a:r>
            <a:rPr lang="en-GB" sz="1100" b="0" i="0" baseline="0">
              <a:solidFill>
                <a:schemeClr val="dk1"/>
              </a:solidFill>
              <a:effectLst/>
              <a:latin typeface="+mn-lt"/>
              <a:ea typeface="+mn-ea"/>
              <a:cs typeface="+mn-cs"/>
            </a:rPr>
            <a:t>5. Site Cashflow is where the calculation happens to generate.  Here are the steps to follow.</a:t>
          </a:r>
        </a:p>
        <a:p>
          <a:r>
            <a:rPr lang="en-GB" sz="1100" b="0" i="0" baseline="0">
              <a:solidFill>
                <a:schemeClr val="dk1"/>
              </a:solidFill>
              <a:effectLst/>
              <a:latin typeface="+mn-lt"/>
              <a:ea typeface="+mn-ea"/>
              <a:cs typeface="+mn-cs"/>
            </a:rPr>
            <a:t>	1.   Project Subscription Income opeates to identify how much of the cost is imposed in the subscription fee, the higher the number the 	higher the cost of the subcription and the shorter the term to break-even on the total capital expenditure.  If we engage with a 	community we will ask whether they would prefer lower costs sooner (i.e. a disadvantaged demographic would probably want this as it 	reflects lower bills) or to pay off the hardware costs sooner (the advantage here is that there are less interest payments to be made, but 	the cost of the subscription would be higher).</a:t>
          </a:r>
        </a:p>
        <a:p>
          <a:r>
            <a:rPr lang="en-GB" sz="1100" b="0" i="0" baseline="0">
              <a:solidFill>
                <a:schemeClr val="dk1"/>
              </a:solidFill>
              <a:effectLst/>
              <a:latin typeface="+mn-lt"/>
              <a:ea typeface="+mn-ea"/>
              <a:cs typeface="+mn-cs"/>
            </a:rPr>
            <a:t>	2. EFA Certificate interest rate.  This is an annual interest payment that is provided to investors in a CREP.</a:t>
          </a:r>
        </a:p>
        <a:p>
          <a:r>
            <a:rPr lang="en-GB" sz="1100" b="0" i="0" baseline="0">
              <a:solidFill>
                <a:schemeClr val="dk1"/>
              </a:solidFill>
              <a:effectLst/>
              <a:latin typeface="+mn-lt"/>
              <a:ea typeface="+mn-ea"/>
              <a:cs typeface="+mn-cs"/>
            </a:rPr>
            <a:t>	3. Press the optimise button.</a:t>
          </a:r>
        </a:p>
        <a:p>
          <a:endParaRPr lang="en-GB" sz="1100" b="0" i="0" baseline="0">
            <a:solidFill>
              <a:schemeClr val="dk1"/>
            </a:solidFill>
            <a:effectLst/>
            <a:latin typeface="+mn-lt"/>
            <a:ea typeface="+mn-ea"/>
            <a:cs typeface="+mn-cs"/>
          </a:endParaRPr>
        </a:p>
        <a:p>
          <a:r>
            <a:rPr lang="en-GB" sz="1100" b="0" i="0" baseline="0">
              <a:solidFill>
                <a:schemeClr val="dk1"/>
              </a:solidFill>
              <a:effectLst/>
              <a:latin typeface="+mn-lt"/>
              <a:ea typeface="+mn-ea"/>
              <a:cs typeface="+mn-cs"/>
            </a:rPr>
            <a:t>Output Tabs (Dark Green)</a:t>
          </a:r>
        </a:p>
        <a:p>
          <a:r>
            <a:rPr lang="en-GB" sz="1100" b="0" i="0" baseline="0">
              <a:solidFill>
                <a:schemeClr val="dk1"/>
              </a:solidFill>
              <a:effectLst/>
              <a:latin typeface="+mn-lt"/>
              <a:ea typeface="+mn-ea"/>
              <a:cs typeface="+mn-cs"/>
            </a:rPr>
            <a:t>Enviromentally Friendly Asset provides you the investment certificates that raise the finances for the project - this is all autocalculated.</a:t>
          </a:r>
        </a:p>
        <a:p>
          <a:r>
            <a:rPr lang="en-GB" sz="1100" b="0" i="0" baseline="0">
              <a:solidFill>
                <a:schemeClr val="dk1"/>
              </a:solidFill>
              <a:effectLst/>
              <a:latin typeface="+mn-lt"/>
              <a:ea typeface="+mn-ea"/>
              <a:cs typeface="+mn-cs"/>
            </a:rPr>
            <a:t>Household Offer is the offer we take to households.</a:t>
          </a:r>
        </a:p>
        <a:p>
          <a:endParaRPr lang="en-GB" sz="1100" b="0" i="0" baseline="0">
            <a:solidFill>
              <a:schemeClr val="dk1"/>
            </a:solidFill>
            <a:effectLst/>
            <a:latin typeface="+mn-lt"/>
            <a:ea typeface="+mn-ea"/>
            <a:cs typeface="+mn-cs"/>
          </a:endParaRPr>
        </a:p>
        <a:p>
          <a:r>
            <a:rPr lang="en-US" sz="1100">
              <a:solidFill>
                <a:schemeClr val="dk1"/>
              </a:solidFill>
              <a:effectLst/>
              <a:latin typeface="+mn-lt"/>
              <a:ea typeface="+mn-ea"/>
              <a:cs typeface="+mn-cs"/>
            </a:rPr>
            <a:t>© 2020 Environmentally Friendly Alternatives Ltd. Company Number: 13003477</a:t>
          </a:r>
          <a:endParaRPr lang="en-GB" sz="1100">
            <a:solidFill>
              <a:schemeClr val="dk1"/>
            </a:solidFill>
            <a:effectLst/>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1143000</xdr:colOff>
      <xdr:row>5</xdr:row>
      <xdr:rowOff>156210</xdr:rowOff>
    </xdr:from>
    <xdr:to>
      <xdr:col>11</xdr:col>
      <xdr:colOff>173355</xdr:colOff>
      <xdr:row>16</xdr:row>
      <xdr:rowOff>125730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6516350" y="1118235"/>
          <a:ext cx="6945630" cy="19507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correlated</a:t>
          </a:r>
          <a:r>
            <a:rPr lang="en-GB" sz="1100" baseline="0"/>
            <a:t> consumption needs to reflect reserving 20% from the subscription, i.e. 20% of generated energy goes straight into storage this facilitates a margin of error which will be sold via the Boost PAYG (top up after subscriotion ends)</a:t>
          </a:r>
        </a:p>
        <a:p>
          <a:endParaRPr lang="en-GB" sz="1100" baseline="0"/>
        </a:p>
        <a:p>
          <a:r>
            <a:rPr lang="en-GB" sz="1100" baseline="0"/>
            <a:t>metres squared (assume 100m2 for the model) needs to be added</a:t>
          </a:r>
        </a:p>
        <a:p>
          <a:endParaRPr lang="en-GB" sz="1100" baseline="0"/>
        </a:p>
        <a:p>
          <a:r>
            <a:rPr lang="en-GB" sz="1100" baseline="0"/>
            <a:t>the correlated consumption and stored excess, will need to be fixed at 80% of generation being consumed, 20% put into storage</a:t>
          </a:r>
          <a:endParaRPr lang="en-GB" sz="1100"/>
        </a:p>
      </xdr:txBody>
    </xdr:sp>
    <xdr:clientData/>
  </xdr:twoCellAnchor>
  <xdr:twoCellAnchor>
    <xdr:from>
      <xdr:col>1</xdr:col>
      <xdr:colOff>66675</xdr:colOff>
      <xdr:row>25</xdr:row>
      <xdr:rowOff>128585</xdr:rowOff>
    </xdr:from>
    <xdr:to>
      <xdr:col>2</xdr:col>
      <xdr:colOff>1409700</xdr:colOff>
      <xdr:row>38</xdr:row>
      <xdr:rowOff>47624</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771525" y="4795835"/>
          <a:ext cx="5372100" cy="24431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sng"/>
            <a:t>Renewables.ninja</a:t>
          </a:r>
          <a:r>
            <a:rPr lang="en-GB" sz="1100" b="1" u="sng" baseline="0"/>
            <a:t> model</a:t>
          </a:r>
        </a:p>
        <a:p>
          <a:endParaRPr lang="en-GB" sz="1100" baseline="0"/>
        </a:p>
        <a:p>
          <a:r>
            <a:rPr lang="en-GB" sz="1100" baseline="0"/>
            <a:t>Annual Yield (kWh) = (Mean power output (kW) x 8760 (hours in a year)</a:t>
          </a:r>
        </a:p>
        <a:p>
          <a:endParaRPr lang="en-GB" sz="1100" baseline="0"/>
        </a:p>
        <a:p>
          <a:r>
            <a:rPr lang="en-GB" sz="1100" baseline="0"/>
            <a:t>Mean power output (kW) = capacity (kW) x capacity factor (%=0-1)</a:t>
          </a:r>
        </a:p>
        <a:p>
          <a:endParaRPr lang="en-GB" sz="1100" baseline="0"/>
        </a:p>
        <a:p>
          <a:r>
            <a:rPr lang="en-GB" sz="1100" baseline="0"/>
            <a:t>System capacity = No. of modules x module power (kW)</a:t>
          </a:r>
        </a:p>
        <a:p>
          <a:endParaRPr lang="en-GB" sz="1100" baseline="0"/>
        </a:p>
        <a:p>
          <a:r>
            <a:rPr lang="en-GB" sz="1100" baseline="0"/>
            <a:t>Capacity factor derived from renewables.ninja model using weather data and is dependent on tilt and azimuth (model used tilt 35 and azimuth of 180*, system loss = 0.14)</a:t>
          </a:r>
        </a:p>
        <a:p>
          <a:endParaRPr lang="en-GB" sz="1100"/>
        </a:p>
        <a:p>
          <a:r>
            <a:rPr lang="en-GB" sz="1100"/>
            <a:t>NB: the renewables.ninja and PV-GIS models use northfacing azimuth and southfacing azimuth respectively</a:t>
          </a:r>
          <a:r>
            <a:rPr lang="en-GB" sz="1100" b="0" i="0" u="none" strike="noStrike">
              <a:solidFill>
                <a:schemeClr val="dk1"/>
              </a:solidFill>
              <a:effectLst/>
              <a:latin typeface="+mn-lt"/>
              <a:ea typeface="+mn-ea"/>
              <a:cs typeface="+mn-cs"/>
            </a:rPr>
            <a:t>no. of panels for 1kWp</a:t>
          </a:r>
          <a:r>
            <a:rPr lang="en-GB"/>
            <a:t> </a:t>
          </a:r>
        </a:p>
        <a:p>
          <a:endParaRPr lang="en-GB" sz="1100"/>
        </a:p>
      </xdr:txBody>
    </xdr:sp>
    <xdr:clientData/>
  </xdr:twoCellAnchor>
  <xdr:oneCellAnchor>
    <xdr:from>
      <xdr:col>0</xdr:col>
      <xdr:colOff>716280</xdr:colOff>
      <xdr:row>9</xdr:row>
      <xdr:rowOff>175260</xdr:rowOff>
    </xdr:from>
    <xdr:ext cx="5648326" cy="2988832"/>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16280" y="1851660"/>
          <a:ext cx="5648326" cy="2988832"/>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2000" b="1" u="sng"/>
            <a:t>Current Site</a:t>
          </a:r>
          <a:r>
            <a:rPr lang="en-GB" sz="2000" b="1" u="sng" baseline="0"/>
            <a:t> Cashflow Inputs</a:t>
          </a:r>
        </a:p>
        <a:p>
          <a:endParaRPr lang="en-GB" sz="1100" b="1" u="sng" baseline="0">
            <a:solidFill>
              <a:schemeClr val="accent2"/>
            </a:solidFill>
          </a:endParaRPr>
        </a:p>
        <a:p>
          <a:endParaRPr lang="en-GB" sz="1100" b="0" u="none" baseline="0"/>
        </a:p>
        <a:p>
          <a:r>
            <a:rPr lang="en-GB" sz="1100" b="1" u="sng" baseline="0"/>
            <a:t>Annual yield for entire project (1000 households) (kWh)</a:t>
          </a:r>
        </a:p>
        <a:p>
          <a:r>
            <a:rPr lang="en-GB" sz="1100" b="0" u="none" baseline="0"/>
            <a:t>SITE DETAILS - no. of households within project (set to 1000)</a:t>
          </a:r>
        </a:p>
        <a:p>
          <a:r>
            <a:rPr lang="en-GB" sz="1100" b="0" u="none" baseline="0"/>
            <a:t>x PV PRODUCTS - system unit size (set to 4kW)</a:t>
          </a:r>
        </a:p>
        <a:p>
          <a:r>
            <a:rPr lang="en-GB" sz="1100" b="0" u="none" baseline="0"/>
            <a:t>x PV PRODUCTS - </a:t>
          </a:r>
          <a:r>
            <a:rPr lang="en-GB" sz="1100" b="0" i="0" u="none" strike="noStrike">
              <a:solidFill>
                <a:schemeClr val="tx1"/>
              </a:solidFill>
              <a:effectLst/>
              <a:latin typeface="+mn-lt"/>
              <a:ea typeface="+mn-ea"/>
              <a:cs typeface="+mn-cs"/>
            </a:rPr>
            <a:t>Average Solar Yield - kWh/Yr/kW</a:t>
          </a:r>
          <a:r>
            <a:rPr lang="en-GB"/>
            <a:t> </a:t>
          </a:r>
        </a:p>
        <a:p>
          <a:endParaRPr lang="en-GB" sz="1100" b="0" u="none" baseline="0"/>
        </a:p>
        <a:p>
          <a:r>
            <a:rPr lang="en-GB" sz="1100" b="1" u="sng" baseline="0"/>
            <a:t>CAPEX</a:t>
          </a:r>
        </a:p>
        <a:p>
          <a:r>
            <a:rPr lang="en-GB" sz="1100" b="0" u="none" baseline="0"/>
            <a:t>In COST SUMMARIES:</a:t>
          </a:r>
          <a:endParaRPr lang="en-GB" sz="1100" b="0" u="sng" baseline="0"/>
        </a:p>
        <a:p>
          <a:r>
            <a:rPr lang="en-GB" sz="1100" b="0" u="none" baseline="0"/>
            <a:t>HARDWARE - £/kW for 4kW x 1000 households</a:t>
          </a:r>
        </a:p>
        <a:p>
          <a:r>
            <a:rPr lang="en-GB" sz="1100" b="0" u="none" baseline="0"/>
            <a:t>+ HARDWARE - battery costs £/kW x capacity (daily solar yield x (1 - correlated consumption) x (stored production) </a:t>
          </a:r>
        </a:p>
        <a:p>
          <a:r>
            <a:rPr lang="en-GB" sz="1100" b="0" u="none" baseline="0"/>
            <a:t>+ Installation costs</a:t>
          </a:r>
        </a:p>
        <a:p>
          <a:endParaRPr lang="en-GB" sz="1100" b="0" u="none" baseline="0"/>
        </a:p>
        <a:p>
          <a:endParaRPr lang="en-GB" sz="1100" b="0" u="none" baseline="0"/>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1</xdr:col>
      <xdr:colOff>38100</xdr:colOff>
      <xdr:row>9</xdr:row>
      <xdr:rowOff>53340</xdr:rowOff>
    </xdr:from>
    <xdr:to>
      <xdr:col>5</xdr:col>
      <xdr:colOff>1897380</xdr:colOff>
      <xdr:row>15</xdr:row>
      <xdr:rowOff>129540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762000" y="1699260"/>
          <a:ext cx="8359140" cy="11734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hardware needs to be</a:t>
          </a:r>
          <a:r>
            <a:rPr lang="en-GB" sz="1100" baseline="0"/>
            <a:t> updated with product information from the various products tabs (PV Products, Battery products, Cabling and Grid). </a:t>
          </a:r>
        </a:p>
        <a:p>
          <a:endParaRPr lang="en-GB" sz="1100" baseline="0"/>
        </a:p>
        <a:p>
          <a:r>
            <a:rPr lang="en-GB" sz="1100" baseline="0"/>
            <a:t>The price needs to be made dependent on the product.</a:t>
          </a:r>
        </a:p>
        <a:p>
          <a:endParaRPr lang="en-GB" sz="1100" baseline="0"/>
        </a:p>
        <a:p>
          <a:r>
            <a:rPr lang="en-GB" sz="1100" baseline="0"/>
            <a:t>The quantity per house refects the number of panels for each house based on the size of panels and the average size of rooftop on the site details tab.</a:t>
          </a:r>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175260</xdr:colOff>
      <xdr:row>10</xdr:row>
      <xdr:rowOff>175260</xdr:rowOff>
    </xdr:from>
    <xdr:to>
      <xdr:col>4</xdr:col>
      <xdr:colOff>601980</xdr:colOff>
      <xdr:row>21</xdr:row>
      <xdr:rowOff>45720</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899160" y="2034540"/>
          <a:ext cx="5966460" cy="18821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installation costs</a:t>
          </a:r>
          <a:r>
            <a:rPr lang="en-GB" sz="1100" baseline="0"/>
            <a:t> to be updated per household/rooftop</a:t>
          </a:r>
        </a:p>
        <a:p>
          <a:endParaRPr lang="en-GB" sz="1100" baseline="0"/>
        </a:p>
        <a:p>
          <a:r>
            <a:rPr lang="en-GB" sz="1100" baseline="0"/>
            <a:t>i.e. how much will an installer be paid per day and how many panels will be installed in that time.</a:t>
          </a:r>
        </a:p>
        <a:p>
          <a:r>
            <a:rPr lang="en-GB" sz="1100" baseline="0"/>
            <a:t>the model currently assumes it will take half a day to install solar panes on a single rooftop/household</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358140</xdr:colOff>
      <xdr:row>2</xdr:row>
      <xdr:rowOff>160020</xdr:rowOff>
    </xdr:from>
    <xdr:to>
      <xdr:col>9</xdr:col>
      <xdr:colOff>510540</xdr:colOff>
      <xdr:row>13</xdr:row>
      <xdr:rowOff>137160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669280" y="533400"/>
          <a:ext cx="2590800" cy="16535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CIC is an established business carrying the debt on behalf</a:t>
          </a:r>
          <a:r>
            <a:rPr lang="en-GB" sz="1100" baseline="0"/>
            <a:t> of the community, and repaying this debt through the CaaC management infrastructure.</a:t>
          </a:r>
        </a:p>
        <a:p>
          <a:endParaRPr lang="en-GB" sz="1100" baseline="0"/>
        </a:p>
        <a:p>
          <a:r>
            <a:rPr lang="en-GB" sz="1100" baseline="0"/>
            <a:t>&gt; If VAT is applied at the household level</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83820</xdr:colOff>
      <xdr:row>10</xdr:row>
      <xdr:rowOff>45720</xdr:rowOff>
    </xdr:from>
    <xdr:to>
      <xdr:col>7</xdr:col>
      <xdr:colOff>472440</xdr:colOff>
      <xdr:row>22</xdr:row>
      <xdr:rowOff>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303020" y="2004060"/>
          <a:ext cx="6103620" cy="21488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correlated</a:t>
          </a:r>
          <a:r>
            <a:rPr lang="en-GB" sz="1100" baseline="0"/>
            <a:t> consumption needs to be adjusted to 40% to reflect that 80% of the energy will be dedicated to subscriptions</a:t>
          </a:r>
        </a:p>
        <a:p>
          <a:endParaRPr lang="en-GB" sz="1100" baseline="0"/>
        </a:p>
        <a:p>
          <a:r>
            <a:rPr lang="en-GB" sz="1100" baseline="0"/>
            <a:t>stored production, when adjusted to a lower percentage e.g. 80% or 90% needs to be reflected to show that unstored production being (20% or 10%) being sold back on to the grid at the export tariff rate.</a:t>
          </a:r>
        </a:p>
        <a:p>
          <a:endParaRPr lang="en-GB" sz="1100" baseline="0"/>
        </a:p>
        <a:p>
          <a:r>
            <a:rPr lang="en-GB" sz="1100" baseline="0"/>
            <a:t>Example:</a:t>
          </a:r>
        </a:p>
        <a:p>
          <a:r>
            <a:rPr lang="en-GB" sz="1100" baseline="0"/>
            <a:t>If the site produces 100 kWh, then, 80kwh will be consumed, 40 kWh being stored in batteries in the subscription, and 40 kWh being consumed at the point of generation in the subscription.  The remaining 20kWh is reserved for the boost PAYG as a margin of error that can be dispersed to the subscribers, however this may not be used by the subscription, and then must be sold back on to the grid at the export tariff rate.</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22860</xdr:colOff>
      <xdr:row>11</xdr:row>
      <xdr:rowOff>30480</xdr:rowOff>
    </xdr:from>
    <xdr:to>
      <xdr:col>1</xdr:col>
      <xdr:colOff>1264920</xdr:colOff>
      <xdr:row>12</xdr:row>
      <xdr:rowOff>144780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678180" y="2613660"/>
          <a:ext cx="1242060" cy="2971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capital</a:t>
          </a:r>
          <a:r>
            <a:rPr lang="en-GB" sz="1100" baseline="0"/>
            <a:t> gains?</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7620</xdr:colOff>
      <xdr:row>14</xdr:row>
      <xdr:rowOff>38100</xdr:rowOff>
    </xdr:from>
    <xdr:to>
      <xdr:col>8</xdr:col>
      <xdr:colOff>426720</xdr:colOff>
      <xdr:row>23</xdr:row>
      <xdr:rowOff>129540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617220" y="2263140"/>
          <a:ext cx="6362700" cy="17373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terms and conditions</a:t>
          </a:r>
          <a:r>
            <a:rPr lang="en-GB" sz="1100" baseline="0"/>
            <a:t> (this is in preparation for turning this sheet into a dummy contract)</a:t>
          </a:r>
        </a:p>
        <a:p>
          <a:endParaRPr lang="en-GB" sz="1100"/>
        </a:p>
        <a:p>
          <a:r>
            <a:rPr lang="en-GB" sz="1100"/>
            <a:t>inflation disclaimer?</a:t>
          </a:r>
        </a:p>
        <a:p>
          <a:endParaRPr lang="en-GB" sz="1100"/>
        </a:p>
        <a:p>
          <a:r>
            <a:rPr lang="en-GB" sz="1100"/>
            <a:t>boost explanation etc.</a:t>
          </a:r>
        </a:p>
        <a:p>
          <a:endParaRPr lang="en-GB" sz="1100"/>
        </a:p>
        <a:p>
          <a:r>
            <a:rPr lang="en-GB" sz="1100"/>
            <a:t>excess</a:t>
          </a:r>
          <a:r>
            <a:rPr lang="en-GB" sz="1100" baseline="0"/>
            <a:t> energy unconsumed disclaimer &gt; this reflects that any unconsumed electricity is sold under the smart export guarantee</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15</xdr:col>
      <xdr:colOff>19050</xdr:colOff>
      <xdr:row>3</xdr:row>
      <xdr:rowOff>57150</xdr:rowOff>
    </xdr:from>
    <xdr:to>
      <xdr:col>29</xdr:col>
      <xdr:colOff>209550</xdr:colOff>
      <xdr:row>9</xdr:row>
      <xdr:rowOff>95250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4039850" y="838200"/>
          <a:ext cx="10477500" cy="123825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GB" sz="1100" baseline="0">
              <a:solidFill>
                <a:schemeClr val="tx1"/>
              </a:solidFill>
              <a:effectLst/>
              <a:latin typeface="+mn-lt"/>
              <a:ea typeface="+mn-ea"/>
              <a:cs typeface="+mn-cs"/>
            </a:rPr>
            <a:t>Over the course of the financial year 2018/19, the average cost per kW for 0-4kW installations was broadly similar, with a mean cost of £1,816 per kW installed. The mean cost fluctuated over the year, reaching a peak for the year of £1,939 per kW installed in June. The mean cost then reduced from this peak to reach a minimum mean cost for the year in November of £1,726 per kW installed. Subsequently, the mean cost increased slightly and remained broadly stable to March 2019. </a:t>
          </a:r>
        </a:p>
        <a:p>
          <a:pPr marL="0" marR="0" indent="0" defTabSz="914400" eaLnBrk="1" fontAlgn="auto" latinLnBrk="0" hangingPunct="1">
            <a:lnSpc>
              <a:spcPct val="100000"/>
            </a:lnSpc>
            <a:spcBef>
              <a:spcPts val="0"/>
            </a:spcBef>
            <a:spcAft>
              <a:spcPts val="0"/>
            </a:spcAft>
            <a:buClrTx/>
            <a:buSzTx/>
            <a:buFontTx/>
            <a:buNone/>
            <a:tabLst/>
            <a:defRPr/>
          </a:pPr>
          <a:r>
            <a:rPr lang="en-GB" sz="1100" baseline="0">
              <a:solidFill>
                <a:schemeClr val="tx1"/>
              </a:solidFill>
              <a:effectLst/>
              <a:latin typeface="+mn-lt"/>
              <a:ea typeface="+mn-ea"/>
              <a:cs typeface="+mn-cs"/>
            </a:rPr>
            <a:t>The mean cost for 0-4kW installations was 1.3% lower than in 2017/18. The mean cost for 2018/19 is around 12.3% lower than in 2014/15. </a:t>
          </a:r>
        </a:p>
        <a:p>
          <a:pPr marL="0" marR="0" indent="0" defTabSz="914400" eaLnBrk="1" fontAlgn="auto" latinLnBrk="0" hangingPunct="1">
            <a:lnSpc>
              <a:spcPct val="100000"/>
            </a:lnSpc>
            <a:spcBef>
              <a:spcPts val="0"/>
            </a:spcBef>
            <a:spcAft>
              <a:spcPts val="0"/>
            </a:spcAft>
            <a:buClrTx/>
            <a:buSzTx/>
            <a:buFontTx/>
            <a:buNone/>
            <a:tabLst/>
            <a:defRPr/>
          </a:pPr>
          <a:r>
            <a:rPr lang="en-GB" sz="1100" baseline="0">
              <a:solidFill>
                <a:schemeClr val="tx1"/>
              </a:solidFill>
              <a:effectLst/>
              <a:latin typeface="+mn-lt"/>
              <a:ea typeface="+mn-ea"/>
              <a:cs typeface="+mn-cs"/>
            </a:rPr>
            <a:t>There were 32,370 installations included in the analysis for 0-4kW installations between April 2018 and March 2019, an increase of 64% on the previous year. This increase is driven by the closure of FiTs at the end of March 2019.</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24</xdr:col>
      <xdr:colOff>161925</xdr:colOff>
      <xdr:row>8</xdr:row>
      <xdr:rowOff>131844</xdr:rowOff>
    </xdr:from>
    <xdr:to>
      <xdr:col>34</xdr:col>
      <xdr:colOff>248744</xdr:colOff>
      <xdr:row>26</xdr:row>
      <xdr:rowOff>105477</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19011900" y="1655844"/>
          <a:ext cx="6182819" cy="3974133"/>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Nelson, Rupert" id="{5ECF352F-FD07-4925-8035-DA876F7697D9}" userId="Nelson, Rupert" providerId="None"/>
  <person displayName="Rupert Nelson" id="{0CEBF9A9-30F0-45CD-8130-9B1EAB1BC9FA}" userId="1290641f574bb873" providerId="Windows Live"/>
  <person displayName="Orson Auvermann" id="{9D95DDAB-1545-4203-9212-DEBF037B9047}" userId="98eacecd4724a63d"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3" dT="2020-11-08T14:13:39.96" personId="{5ECF352F-FD07-4925-8035-DA876F7697D9}" id="{9B21D86C-AA95-42B6-A459-860C4E1FD70F}">
    <text>this is for the model</text>
  </threadedComment>
  <threadedComment ref="D3" dT="2021-01-10T00:45:48.94" personId="{9D95DDAB-1545-4203-9212-DEBF037B9047}" id="{B05D6A55-FE6B-446C-8D51-74DE487F2C04}">
    <text>this goes into site cashflow</text>
  </threadedComment>
  <threadedComment ref="E33" dT="2021-01-09T22:24:19.76" personId="{9D95DDAB-1545-4203-9212-DEBF037B9047}" id="{3145177A-8F3B-484D-A417-58C2A73E4191}">
    <text>comes from renewables.ninja model
11.8% from CM-SAF SARAH (Europe) 2015
12.5% from MERRA-2 (global) 2019</text>
  </threadedComment>
  <threadedComment ref="A50" dT="2021-07-22T15:13:15.52" personId="{9D95DDAB-1545-4203-9212-DEBF037B9047}" id="{380EC72D-6655-49ED-B5A5-53881D64F121}">
    <text>https://www.theecoexperts.co.uk/solar-panels/what-size-do-i-need#:~:text=Average%20annual%20yield%20from%20solar%20panels,-As%20you%20can&amp;text=A%201kWp%20system%20will%20produce,out%20a%20whopping%203%2C800kWh.</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0-11-08T15:45:48.32" personId="{5ECF352F-FD07-4925-8035-DA876F7697D9}" id="{6B7B7F63-4700-49AE-91F3-F4D0A5F0DCF0}">
    <text>review when updaitng the yellow tabs</text>
  </threadedComment>
  <threadedComment ref="I8" dT="2020-10-26T13:39:19.48" personId="{5ECF352F-FD07-4925-8035-DA876F7697D9}" id="{527D2383-24AA-4DBE-A055-162000866F05}">
    <text>this will be the number that will be pointed to for total capital outlay</text>
  </threadedComment>
</ThreadedComments>
</file>

<file path=xl/threadedComments/threadedComment3.xml><?xml version="1.0" encoding="utf-8"?>
<ThreadedComments xmlns="http://schemas.microsoft.com/office/spreadsheetml/2018/threadedcomments" xmlns:x="http://schemas.openxmlformats.org/spreadsheetml/2006/main">
  <threadedComment ref="G3" dT="2021-06-17T18:25:05.49" personId="{9D95DDAB-1545-4203-9212-DEBF037B9047}" id="{62CF51F6-4D4A-45EF-806B-B170E7A32209}">
    <text>how does this link to battery products?</text>
  </threadedComment>
</ThreadedComments>
</file>

<file path=xl/threadedComments/threadedComment4.xml><?xml version="1.0" encoding="utf-8"?>
<ThreadedComments xmlns="http://schemas.microsoft.com/office/spreadsheetml/2018/threadedcomments" xmlns:x="http://schemas.openxmlformats.org/spreadsheetml/2006/main">
  <threadedComment ref="E40" dT="2020-11-14T14:33:47.21" personId="{5ECF352F-FD07-4925-8035-DA876F7697D9}" id="{8148AA2F-D973-4E07-964A-78805B2D47FE}">
    <text>***as this is the reverse of the net savings to customers this needs more discount
***integers also to include 100% to 0% ... this then helps with modeling the savings we can provide</text>
  </threadedComment>
  <threadedComment ref="E54" dT="2021-07-15T19:44:51.98" personId="{0CEBF9A9-30F0-45CD-8130-9B1EAB1BC9FA}" id="{0030EF79-D309-4146-A836-DCE8C4D9E7CB}">
    <text>add formula: only if operating flag = 1</text>
  </threadedComment>
  <threadedComment ref="E65" dT="2020-11-14T11:50:00.31" personId="{5ECF352F-FD07-4925-8035-DA876F7697D9}" id="{0DB91F97-C345-43B8-9196-24E3814076FC}">
    <text>this now seems eroneous.</text>
  </threadedComment>
  <threadedComment ref="G76" dT="2021-07-15T20:15:27.94" personId="{0CEBF9A9-30F0-45CD-8130-9B1EAB1BC9FA}" id="{8D7AA7B5-E386-4E1A-B3D1-AC31214C8C53}">
    <text>repeated data from D30 need to re-route the formula</text>
  </threadedComment>
</ThreadedComments>
</file>

<file path=xl/threadedComments/threadedComment5.xml><?xml version="1.0" encoding="utf-8"?>
<ThreadedComments xmlns="http://schemas.microsoft.com/office/spreadsheetml/2018/threadedcomments" xmlns:x="http://schemas.openxmlformats.org/spreadsheetml/2006/main">
  <threadedComment ref="L4" dT="2021-06-17T18:15:03.44" personId="{9D95DDAB-1545-4203-9212-DEBF037B9047}" id="{CA544B9A-85E5-433A-877E-DA27310AC1B2}">
    <text>this should feed into how many panels it takes for 1kWp</text>
  </threadedComment>
</ThreadedComments>
</file>

<file path=xl/threadedComments/threadedComment6.xml><?xml version="1.0" encoding="utf-8"?>
<ThreadedComments xmlns="http://schemas.microsoft.com/office/spreadsheetml/2018/threadedcomments" xmlns:x="http://schemas.openxmlformats.org/spreadsheetml/2006/main">
  <threadedComment ref="D11" dT="2021-06-17T17:59:06.49" personId="{9D95DDAB-1545-4203-9212-DEBF037B9047}" id="{B8C43D68-FC3E-4F75-8B69-51FA4B73A66E}">
    <text>10 Kwh (Entrust Branded) CATL Li-FePO4 100ah 2 x 5.12 Kwh including case</text>
  </threadedComment>
  <threadedComment ref="O11" dT="2021-06-17T17:58:11.37" personId="{9D95DDAB-1545-4203-9212-DEBF037B9047}" id="{F16CC511-23C5-4EA7-9536-052674209194}">
    <text>provisional - data not given by entrust</text>
  </threadedComment>
  <threadedComment ref="D17" dT="2021-06-17T17:59:48.83" personId="{9D95DDAB-1545-4203-9212-DEBF037B9047}" id="{BB2DD0D9-ABAD-494F-AFC8-921861B8E7ED}">
    <text>GoodWe 3.68 kW Hybrid Invertor (GW-3648-EM), 230v AC</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microsoft.com/office/2017/10/relationships/threadedComment" Target="../threadedComments/threadedComment1.xml"/><Relationship Id="rId2" Type="http://schemas.openxmlformats.org/officeDocument/2006/relationships/hyperlink" Target="https://re.jrc.ec.europa.eu/pvg_tools/en/tools.html" TargetMode="External"/><Relationship Id="rId1" Type="http://schemas.openxmlformats.org/officeDocument/2006/relationships/hyperlink" Target="https://www.ovoenergy.com/guides/energy-guides/how-much-electricity-does-a-home-use.html"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hyperlink" Target="https://octopus.energy/blog/outgoing/" TargetMode="Externa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5.bin"/><Relationship Id="rId7" Type="http://schemas.microsoft.com/office/2017/10/relationships/threadedComment" Target="../threadedComments/threadedComment5.xml"/><Relationship Id="rId2" Type="http://schemas.openxmlformats.org/officeDocument/2006/relationships/hyperlink" Target="https://blog.spiritenergy.co.uk/homeowner/are-solar-panels-worth-it" TargetMode="External"/><Relationship Id="rId1" Type="http://schemas.openxmlformats.org/officeDocument/2006/relationships/hyperlink" Target="https://www.gov.uk/government/statistics/solar-pv-cost-data" TargetMode="External"/><Relationship Id="rId6" Type="http://schemas.openxmlformats.org/officeDocument/2006/relationships/comments" Target="../comments6.xml"/><Relationship Id="rId5" Type="http://schemas.openxmlformats.org/officeDocument/2006/relationships/vmlDrawing" Target="../drawings/vmlDrawing6.vml"/><Relationship Id="rId4"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voltstorage.com/en/voltstorage-smart-home-battery/" TargetMode="External"/><Relationship Id="rId1" Type="http://schemas.openxmlformats.org/officeDocument/2006/relationships/hyperlink" Target="https://www.greenmatch.co.uk/blog/2018/07/solar-battery-storage-system-cost" TargetMode="External"/><Relationship Id="rId6" Type="http://schemas.microsoft.com/office/2017/10/relationships/threadedComment" Target="../threadedComments/threadedComment6.xml"/><Relationship Id="rId5" Type="http://schemas.openxmlformats.org/officeDocument/2006/relationships/comments" Target="../comments7.xml"/><Relationship Id="rId4"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D58CC-CB05-4F2D-B4FD-8EE25D479213}">
  <sheetPr codeName="Sheet1"/>
  <dimension ref="A1"/>
  <sheetViews>
    <sheetView workbookViewId="0">
      <selection activeCell="S16" sqref="S16"/>
    </sheetView>
  </sheetViews>
  <sheetFormatPr defaultRowHeight="14.4" x14ac:dyDescent="0.3"/>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9" tint="0.39997558519241921"/>
  </sheetPr>
  <dimension ref="A1:K85"/>
  <sheetViews>
    <sheetView topLeftCell="A13" workbookViewId="0">
      <selection activeCell="B55" sqref="B55"/>
    </sheetView>
  </sheetViews>
  <sheetFormatPr defaultRowHeight="14.4" x14ac:dyDescent="0.3"/>
  <cols>
    <col min="1" max="1" width="10.5546875" customWidth="1"/>
    <col min="2" max="2" width="60.44140625" bestFit="1" customWidth="1"/>
    <col min="3" max="3" width="31.33203125" customWidth="1"/>
    <col min="4" max="4" width="25" customWidth="1"/>
    <col min="5" max="5" width="37.33203125" bestFit="1" customWidth="1"/>
    <col min="6" max="6" width="30.33203125" customWidth="1"/>
    <col min="7" max="7" width="35.6640625" customWidth="1"/>
    <col min="8" max="8" width="18.44140625" customWidth="1"/>
    <col min="9" max="9" width="82" bestFit="1" customWidth="1"/>
  </cols>
  <sheetData>
    <row r="1" spans="1:7" x14ac:dyDescent="0.3">
      <c r="A1" t="s">
        <v>2</v>
      </c>
      <c r="B1" t="s">
        <v>1</v>
      </c>
    </row>
    <row r="2" spans="1:7" ht="15" thickBot="1" x14ac:dyDescent="0.35">
      <c r="E2" t="s">
        <v>159</v>
      </c>
    </row>
    <row r="3" spans="1:7" x14ac:dyDescent="0.3">
      <c r="A3" s="424" t="s">
        <v>160</v>
      </c>
      <c r="B3" s="80" t="s">
        <v>6</v>
      </c>
      <c r="C3" s="178" t="s">
        <v>163</v>
      </c>
      <c r="D3" s="178">
        <v>1000</v>
      </c>
      <c r="E3" s="3" t="s">
        <v>101</v>
      </c>
    </row>
    <row r="4" spans="1:7" x14ac:dyDescent="0.3">
      <c r="A4" s="425"/>
      <c r="B4" s="81" t="s">
        <v>9</v>
      </c>
      <c r="C4" s="82" t="s">
        <v>257</v>
      </c>
      <c r="D4" s="6">
        <v>4153</v>
      </c>
      <c r="E4" s="5" t="s">
        <v>101</v>
      </c>
      <c r="G4" s="68" t="s">
        <v>102</v>
      </c>
    </row>
    <row r="5" spans="1:7" x14ac:dyDescent="0.3">
      <c r="A5" s="425"/>
      <c r="B5" s="81" t="s">
        <v>7</v>
      </c>
      <c r="C5" s="82" t="s">
        <v>257</v>
      </c>
      <c r="D5" s="6">
        <f>D3*D4</f>
        <v>4153000</v>
      </c>
      <c r="E5" s="5" t="s">
        <v>101</v>
      </c>
    </row>
    <row r="6" spans="1:7" ht="15" thickBot="1" x14ac:dyDescent="0.35">
      <c r="A6" s="179"/>
      <c r="B6" s="204" t="s">
        <v>206</v>
      </c>
      <c r="C6" s="205" t="s">
        <v>207</v>
      </c>
      <c r="D6" s="206">
        <v>22</v>
      </c>
      <c r="E6" s="8"/>
    </row>
    <row r="7" spans="1:7" ht="15" thickBot="1" x14ac:dyDescent="0.35">
      <c r="B7" s="25"/>
      <c r="C7" s="29"/>
      <c r="D7" s="29"/>
    </row>
    <row r="8" spans="1:7" x14ac:dyDescent="0.3">
      <c r="A8" s="111" t="s">
        <v>105</v>
      </c>
      <c r="B8" s="107" t="s">
        <v>190</v>
      </c>
      <c r="C8" s="95" t="s">
        <v>113</v>
      </c>
      <c r="D8" s="109">
        <v>0.5</v>
      </c>
      <c r="E8" s="95" t="s">
        <v>105</v>
      </c>
      <c r="F8" s="84" t="s">
        <v>114</v>
      </c>
    </row>
    <row r="9" spans="1:7" ht="15" thickBot="1" x14ac:dyDescent="0.35">
      <c r="A9" s="112" t="s">
        <v>105</v>
      </c>
      <c r="B9" s="108" t="s">
        <v>191</v>
      </c>
      <c r="C9" s="101" t="s">
        <v>115</v>
      </c>
      <c r="D9" s="110">
        <v>1</v>
      </c>
      <c r="E9" s="101" t="s">
        <v>105</v>
      </c>
      <c r="F9" s="86" t="s">
        <v>116</v>
      </c>
    </row>
    <row r="11" spans="1:7" x14ac:dyDescent="0.3">
      <c r="B11" s="217"/>
      <c r="E11" s="12" t="s">
        <v>348</v>
      </c>
    </row>
    <row r="12" spans="1:7" ht="17.25" customHeight="1" thickBot="1" x14ac:dyDescent="0.35"/>
    <row r="13" spans="1:7" ht="33" customHeight="1" x14ac:dyDescent="0.3">
      <c r="E13" s="426" t="s">
        <v>341</v>
      </c>
      <c r="F13" s="427"/>
      <c r="G13" s="273" t="s">
        <v>342</v>
      </c>
    </row>
    <row r="14" spans="1:7" x14ac:dyDescent="0.3">
      <c r="E14" s="211" t="s">
        <v>343</v>
      </c>
      <c r="F14" s="271">
        <v>863.62</v>
      </c>
      <c r="G14" s="269">
        <v>3454.48</v>
      </c>
    </row>
    <row r="15" spans="1:7" x14ac:dyDescent="0.3">
      <c r="E15" s="211" t="s">
        <v>344</v>
      </c>
      <c r="F15" s="271">
        <v>823.35</v>
      </c>
      <c r="G15" s="269">
        <v>3293.4</v>
      </c>
    </row>
    <row r="16" spans="1:7" x14ac:dyDescent="0.3">
      <c r="E16" s="211" t="s">
        <v>345</v>
      </c>
      <c r="F16" s="271">
        <v>726.28</v>
      </c>
      <c r="G16" s="269">
        <v>2905.12</v>
      </c>
    </row>
    <row r="17" spans="1:11" x14ac:dyDescent="0.3">
      <c r="E17" s="211" t="s">
        <v>346</v>
      </c>
      <c r="F17" s="271">
        <v>615.53</v>
      </c>
      <c r="G17" s="269">
        <v>2462.12</v>
      </c>
    </row>
    <row r="18" spans="1:11" ht="15" thickBot="1" x14ac:dyDescent="0.35">
      <c r="E18" s="213" t="s">
        <v>347</v>
      </c>
      <c r="F18" s="272">
        <v>575.64</v>
      </c>
      <c r="G18" s="270">
        <v>2302.56</v>
      </c>
    </row>
    <row r="20" spans="1:11" x14ac:dyDescent="0.3">
      <c r="C20" s="69"/>
      <c r="D20" s="69"/>
      <c r="E20" s="69"/>
      <c r="I20" s="258"/>
      <c r="J20" s="258"/>
    </row>
    <row r="21" spans="1:11" x14ac:dyDescent="0.3">
      <c r="B21" s="4"/>
      <c r="C21" s="74"/>
      <c r="E21" s="74"/>
      <c r="F21" s="4"/>
      <c r="G21" s="4"/>
      <c r="H21" s="4"/>
      <c r="I21" s="259"/>
      <c r="J21" s="259"/>
      <c r="K21" s="4"/>
    </row>
    <row r="22" spans="1:11" x14ac:dyDescent="0.3">
      <c r="A22" s="215"/>
      <c r="B22" s="216"/>
      <c r="C22" s="217"/>
      <c r="E22" s="217"/>
      <c r="F22" s="216"/>
      <c r="G22" s="216"/>
      <c r="H22" s="216"/>
      <c r="I22" s="259"/>
      <c r="J22" s="259"/>
      <c r="K22" s="4"/>
    </row>
    <row r="23" spans="1:11" x14ac:dyDescent="0.3">
      <c r="A23" s="215"/>
      <c r="B23" s="218"/>
      <c r="C23" s="219"/>
      <c r="D23" s="215"/>
      <c r="E23" s="219"/>
      <c r="F23" s="218"/>
      <c r="G23" s="218"/>
      <c r="H23" s="218"/>
      <c r="I23" s="256"/>
      <c r="J23" s="256"/>
      <c r="K23" s="4"/>
    </row>
    <row r="24" spans="1:11" x14ac:dyDescent="0.3">
      <c r="A24" s="215"/>
      <c r="B24" s="218"/>
      <c r="C24" s="219"/>
      <c r="D24" s="219"/>
      <c r="E24" s="219"/>
      <c r="F24" s="218"/>
      <c r="G24" s="218"/>
      <c r="H24" s="218"/>
      <c r="I24" s="256"/>
      <c r="J24" s="256"/>
      <c r="K24" s="4"/>
    </row>
    <row r="25" spans="1:11" ht="15" customHeight="1" x14ac:dyDescent="0.3">
      <c r="A25" s="215"/>
      <c r="B25" s="218"/>
      <c r="C25" s="219"/>
      <c r="D25" s="210" t="s">
        <v>241</v>
      </c>
      <c r="E25" s="219" t="s">
        <v>356</v>
      </c>
      <c r="F25" s="257" t="s">
        <v>297</v>
      </c>
      <c r="G25" s="210" t="s">
        <v>242</v>
      </c>
      <c r="H25" s="219"/>
      <c r="I25" s="257" t="s">
        <v>296</v>
      </c>
      <c r="J25" s="256"/>
      <c r="K25" s="4"/>
    </row>
    <row r="26" spans="1:11" ht="15" thickBot="1" x14ac:dyDescent="0.35">
      <c r="A26" s="215"/>
      <c r="B26" s="218"/>
      <c r="C26" s="219"/>
      <c r="D26" s="219"/>
      <c r="E26" s="219"/>
      <c r="F26" s="218"/>
      <c r="G26" s="219"/>
      <c r="H26" s="219"/>
      <c r="I26" s="256"/>
      <c r="J26" s="256"/>
      <c r="K26" s="4"/>
    </row>
    <row r="27" spans="1:11" x14ac:dyDescent="0.3">
      <c r="A27" s="215"/>
      <c r="B27" s="218"/>
      <c r="C27" s="219"/>
      <c r="D27" s="212" t="s">
        <v>351</v>
      </c>
      <c r="E27" s="220"/>
      <c r="F27" s="218"/>
      <c r="G27" s="212" t="s">
        <v>351</v>
      </c>
      <c r="H27" s="220"/>
      <c r="I27" s="218"/>
      <c r="J27" s="201"/>
      <c r="K27" s="4"/>
    </row>
    <row r="28" spans="1:11" x14ac:dyDescent="0.3">
      <c r="A28" s="215"/>
      <c r="B28" s="218"/>
      <c r="C28" s="219"/>
      <c r="D28" s="221" t="s">
        <v>243</v>
      </c>
      <c r="E28" s="222">
        <f>D6</f>
        <v>22</v>
      </c>
      <c r="F28" s="218"/>
      <c r="G28" s="221" t="s">
        <v>244</v>
      </c>
      <c r="H28" s="222">
        <f>E28</f>
        <v>22</v>
      </c>
      <c r="I28" s="218"/>
      <c r="J28" s="201"/>
      <c r="K28" s="4"/>
    </row>
    <row r="29" spans="1:11" x14ac:dyDescent="0.3">
      <c r="A29" s="215"/>
      <c r="B29" s="218"/>
      <c r="C29" s="218"/>
      <c r="D29" s="223" t="s">
        <v>260</v>
      </c>
      <c r="E29" s="224">
        <v>2</v>
      </c>
      <c r="F29" s="218"/>
      <c r="G29" s="225" t="s">
        <v>245</v>
      </c>
      <c r="H29" s="234">
        <v>0.1958</v>
      </c>
      <c r="I29" s="202" t="s">
        <v>246</v>
      </c>
      <c r="J29" s="201"/>
      <c r="K29" s="4"/>
    </row>
    <row r="30" spans="1:11" x14ac:dyDescent="0.3">
      <c r="A30" s="215"/>
      <c r="B30" s="218"/>
      <c r="C30" s="218"/>
      <c r="D30" s="226" t="s">
        <v>247</v>
      </c>
      <c r="E30" s="227">
        <f>(E28/E29)</f>
        <v>11</v>
      </c>
      <c r="F30" s="218"/>
      <c r="G30" s="246" t="s">
        <v>248</v>
      </c>
      <c r="H30" s="247">
        <v>1018</v>
      </c>
      <c r="I30" s="202" t="s">
        <v>249</v>
      </c>
      <c r="J30" s="201"/>
      <c r="K30" s="4"/>
    </row>
    <row r="31" spans="1:11" ht="15" thickBot="1" x14ac:dyDescent="0.35">
      <c r="A31" s="215"/>
      <c r="B31" s="215"/>
      <c r="C31" s="215"/>
      <c r="D31" s="228" t="s">
        <v>250</v>
      </c>
      <c r="E31" s="229">
        <v>0.36499999999999999</v>
      </c>
      <c r="F31" s="218"/>
      <c r="G31" s="252" t="s">
        <v>251</v>
      </c>
      <c r="H31" s="253">
        <v>0.86</v>
      </c>
      <c r="I31" s="203" t="s">
        <v>252</v>
      </c>
      <c r="J31" s="201"/>
      <c r="K31" s="4"/>
    </row>
    <row r="32" spans="1:11" x14ac:dyDescent="0.3">
      <c r="A32" s="215"/>
      <c r="B32" s="215"/>
      <c r="C32" s="215"/>
      <c r="D32" s="226" t="s">
        <v>267</v>
      </c>
      <c r="E32" s="227">
        <f>(E30*E31)</f>
        <v>4.0149999999999997</v>
      </c>
      <c r="F32" s="218"/>
      <c r="J32" s="201"/>
      <c r="K32" s="4"/>
    </row>
    <row r="33" spans="1:11" x14ac:dyDescent="0.3">
      <c r="A33" s="215"/>
      <c r="B33" s="218"/>
      <c r="C33" s="218"/>
      <c r="D33" s="230" t="s">
        <v>253</v>
      </c>
      <c r="E33" s="231">
        <v>0.11799999999999999</v>
      </c>
      <c r="F33" s="218"/>
      <c r="I33" s="218"/>
      <c r="J33" s="201"/>
      <c r="K33" s="4"/>
    </row>
    <row r="34" spans="1:11" x14ac:dyDescent="0.3">
      <c r="A34" s="215"/>
      <c r="B34" s="218"/>
      <c r="C34" s="218"/>
      <c r="D34" s="226" t="s">
        <v>254</v>
      </c>
      <c r="E34" s="227">
        <f>(E32*E33)</f>
        <v>0.47376999999999991</v>
      </c>
      <c r="F34" s="218"/>
      <c r="G34" s="218"/>
      <c r="H34" s="218"/>
      <c r="I34" s="218"/>
      <c r="J34" s="201"/>
      <c r="K34" s="4"/>
    </row>
    <row r="35" spans="1:11" ht="15" thickBot="1" x14ac:dyDescent="0.35">
      <c r="A35" s="215"/>
      <c r="B35" s="218"/>
      <c r="C35" s="218"/>
      <c r="D35" s="232" t="s">
        <v>255</v>
      </c>
      <c r="E35" s="233">
        <v>25</v>
      </c>
      <c r="F35" s="218"/>
      <c r="G35" s="218"/>
      <c r="H35" s="218"/>
      <c r="I35" s="218"/>
      <c r="J35" s="201"/>
      <c r="K35" s="4"/>
    </row>
    <row r="36" spans="1:11" x14ac:dyDescent="0.3">
      <c r="A36" s="215"/>
      <c r="B36" s="218"/>
      <c r="C36" s="218"/>
      <c r="F36" s="218"/>
      <c r="G36" s="214" t="s">
        <v>268</v>
      </c>
      <c r="H36" s="218"/>
      <c r="I36" s="257" t="s">
        <v>295</v>
      </c>
      <c r="J36" s="201"/>
      <c r="K36" s="4"/>
    </row>
    <row r="37" spans="1:11" ht="15" thickBot="1" x14ac:dyDescent="0.35">
      <c r="A37" s="215"/>
      <c r="B37" s="218"/>
      <c r="C37" s="218"/>
      <c r="F37" s="218"/>
      <c r="G37" s="218"/>
      <c r="H37" s="218"/>
      <c r="I37" s="218"/>
      <c r="J37" s="201"/>
      <c r="K37" s="4"/>
    </row>
    <row r="38" spans="1:11" ht="15" thickBot="1" x14ac:dyDescent="0.35">
      <c r="A38" s="215"/>
      <c r="B38" s="218"/>
      <c r="C38" s="218"/>
      <c r="E38" s="12" t="s">
        <v>339</v>
      </c>
      <c r="F38" s="218"/>
      <c r="G38" s="237" t="s">
        <v>293</v>
      </c>
      <c r="H38" s="238"/>
      <c r="I38" s="219"/>
    </row>
    <row r="39" spans="1:11" x14ac:dyDescent="0.3">
      <c r="A39" s="215"/>
      <c r="B39" s="218"/>
      <c r="C39" s="218"/>
      <c r="D39" s="210" t="s">
        <v>291</v>
      </c>
      <c r="E39" s="275">
        <f>(E34*8760)</f>
        <v>4150.2251999999989</v>
      </c>
      <c r="F39" s="218"/>
      <c r="G39" s="239" t="s">
        <v>269</v>
      </c>
      <c r="H39" s="240" t="s">
        <v>270</v>
      </c>
      <c r="I39" s="219"/>
    </row>
    <row r="40" spans="1:11" x14ac:dyDescent="0.3">
      <c r="A40" s="215"/>
      <c r="B40" s="218"/>
      <c r="C40" s="218"/>
      <c r="D40" s="210" t="s">
        <v>242</v>
      </c>
      <c r="E40" s="276">
        <f>(E28*H29*H30*H31)</f>
        <v>3771.2176480000003</v>
      </c>
      <c r="F40" s="218"/>
      <c r="G40" s="239" t="s">
        <v>271</v>
      </c>
      <c r="H40" s="240" t="s">
        <v>272</v>
      </c>
    </row>
    <row r="41" spans="1:11" x14ac:dyDescent="0.3">
      <c r="A41" s="215"/>
      <c r="B41" s="218"/>
      <c r="C41" s="218"/>
      <c r="D41" s="214" t="s">
        <v>268</v>
      </c>
      <c r="E41" s="277">
        <f>(H48*E32)</f>
        <v>3994.4833499999995</v>
      </c>
      <c r="F41" s="218"/>
      <c r="G41" s="239" t="s">
        <v>273</v>
      </c>
      <c r="H41" s="240" t="s">
        <v>274</v>
      </c>
    </row>
    <row r="42" spans="1:11" x14ac:dyDescent="0.3">
      <c r="A42" s="215"/>
      <c r="B42" s="218"/>
      <c r="C42" s="218"/>
      <c r="D42" s="210" t="s">
        <v>349</v>
      </c>
      <c r="E42" s="277">
        <f>(F14*E32)</f>
        <v>3467.4342999999999</v>
      </c>
      <c r="F42" s="218"/>
      <c r="G42" s="239" t="s">
        <v>275</v>
      </c>
      <c r="H42" s="240" t="s">
        <v>276</v>
      </c>
    </row>
    <row r="43" spans="1:11" x14ac:dyDescent="0.3">
      <c r="A43" s="215"/>
      <c r="B43" s="218" t="s">
        <v>357</v>
      </c>
      <c r="C43" s="219">
        <f>(1/E31)</f>
        <v>2.7397260273972601</v>
      </c>
      <c r="D43" s="214" t="s">
        <v>350</v>
      </c>
      <c r="E43" s="276">
        <f>AVERAGE(E39:E42)</f>
        <v>3845.8401244999995</v>
      </c>
      <c r="F43" s="218"/>
      <c r="G43" s="239" t="s">
        <v>277</v>
      </c>
      <c r="H43" s="240">
        <v>1</v>
      </c>
    </row>
    <row r="44" spans="1:11" ht="15" thickBot="1" x14ac:dyDescent="0.35">
      <c r="A44" s="215"/>
      <c r="B44" s="218" t="s">
        <v>358</v>
      </c>
      <c r="C44" s="219">
        <f>(C43*4)</f>
        <v>10.95890410958904</v>
      </c>
      <c r="D44" s="210" t="s">
        <v>362</v>
      </c>
      <c r="E44" s="268">
        <f>(E43/4)</f>
        <v>961.46003112499989</v>
      </c>
      <c r="F44" s="218"/>
      <c r="G44" s="254" t="s">
        <v>278</v>
      </c>
      <c r="H44" s="255">
        <v>14</v>
      </c>
    </row>
    <row r="45" spans="1:11" ht="15" thickBot="1" x14ac:dyDescent="0.35">
      <c r="A45" s="215"/>
      <c r="B45" s="218"/>
      <c r="C45" s="219"/>
      <c r="E45" s="12" t="s">
        <v>340</v>
      </c>
      <c r="F45" s="218"/>
      <c r="G45" s="237" t="s">
        <v>294</v>
      </c>
      <c r="H45" s="238"/>
    </row>
    <row r="46" spans="1:11" x14ac:dyDescent="0.3">
      <c r="A46" s="215"/>
      <c r="B46" s="218"/>
      <c r="C46" s="219"/>
      <c r="D46" s="210" t="s">
        <v>291</v>
      </c>
      <c r="E46" s="278">
        <f>E39*1000</f>
        <v>4150225.1999999988</v>
      </c>
      <c r="F46" s="218"/>
      <c r="G46" s="241" t="s">
        <v>279</v>
      </c>
      <c r="H46" s="240" t="s">
        <v>280</v>
      </c>
    </row>
    <row r="47" spans="1:11" x14ac:dyDescent="0.3">
      <c r="A47" s="216"/>
      <c r="B47" s="416"/>
      <c r="C47" s="219"/>
      <c r="D47" s="210" t="s">
        <v>242</v>
      </c>
      <c r="E47" s="279">
        <f t="shared" ref="E47:E48" si="0">E40*1000</f>
        <v>3771217.6480000005</v>
      </c>
      <c r="F47" s="218"/>
      <c r="G47" s="241" t="s">
        <v>281</v>
      </c>
      <c r="H47" s="240" t="s">
        <v>282</v>
      </c>
      <c r="I47" t="s">
        <v>290</v>
      </c>
    </row>
    <row r="48" spans="1:11" x14ac:dyDescent="0.3">
      <c r="A48" s="216" t="s">
        <v>380</v>
      </c>
      <c r="B48" s="418">
        <v>788.25</v>
      </c>
      <c r="C48" s="218"/>
      <c r="D48" s="214" t="s">
        <v>268</v>
      </c>
      <c r="E48" s="279">
        <f t="shared" si="0"/>
        <v>3994483.3499999996</v>
      </c>
      <c r="F48" s="218"/>
      <c r="G48" s="250" t="s">
        <v>283</v>
      </c>
      <c r="H48" s="251">
        <v>994.89</v>
      </c>
    </row>
    <row r="49" spans="1:8" x14ac:dyDescent="0.3">
      <c r="A49" s="216" t="s">
        <v>431</v>
      </c>
      <c r="B49" s="417">
        <f>E44</f>
        <v>961.46003112499989</v>
      </c>
      <c r="C49" s="218"/>
      <c r="D49" s="214" t="s">
        <v>349</v>
      </c>
      <c r="E49" s="280">
        <f>(E42*1000)</f>
        <v>3467434.3</v>
      </c>
      <c r="F49" s="218"/>
      <c r="G49" s="248" t="s">
        <v>289</v>
      </c>
      <c r="H49" s="249">
        <v>1222.57</v>
      </c>
    </row>
    <row r="50" spans="1:8" ht="15" thickBot="1" x14ac:dyDescent="0.35">
      <c r="A50" t="s">
        <v>435</v>
      </c>
      <c r="B50">
        <v>850</v>
      </c>
      <c r="D50" s="210" t="s">
        <v>350</v>
      </c>
      <c r="E50" s="281">
        <f>AVERAGE(E46:E49)</f>
        <v>3845840.1244999999</v>
      </c>
      <c r="G50" s="244" t="s">
        <v>284</v>
      </c>
      <c r="H50" s="245">
        <v>41.57</v>
      </c>
    </row>
    <row r="51" spans="1:8" x14ac:dyDescent="0.3">
      <c r="G51" s="242" t="s">
        <v>292</v>
      </c>
      <c r="H51" s="243"/>
    </row>
    <row r="52" spans="1:8" ht="15" thickBot="1" x14ac:dyDescent="0.35">
      <c r="G52" s="241" t="s">
        <v>285</v>
      </c>
      <c r="H52" s="240">
        <v>-3.07</v>
      </c>
    </row>
    <row r="53" spans="1:8" ht="12.75" customHeight="1" x14ac:dyDescent="0.3">
      <c r="D53" s="262" t="s">
        <v>265</v>
      </c>
      <c r="E53" s="263">
        <f>('PV Products'!I14*1000)</f>
        <v>539.99999999999989</v>
      </c>
      <c r="G53" s="241" t="s">
        <v>286</v>
      </c>
      <c r="H53" s="240">
        <v>1.92</v>
      </c>
    </row>
    <row r="54" spans="1:8" x14ac:dyDescent="0.3">
      <c r="D54" s="264" t="s">
        <v>266</v>
      </c>
      <c r="E54" s="265">
        <f>(E53*E32)</f>
        <v>2168.0999999999995</v>
      </c>
      <c r="G54" s="241" t="s">
        <v>287</v>
      </c>
      <c r="H54" s="240">
        <v>-4.21</v>
      </c>
    </row>
    <row r="55" spans="1:8" ht="15" thickBot="1" x14ac:dyDescent="0.35">
      <c r="D55" s="266" t="s">
        <v>256</v>
      </c>
      <c r="E55" s="267">
        <f>(E54/(E39*E35))</f>
        <v>2.0896215463199443E-2</v>
      </c>
      <c r="G55" s="244" t="s">
        <v>288</v>
      </c>
      <c r="H55" s="245">
        <v>-18.62</v>
      </c>
    </row>
    <row r="65" spans="1:9" x14ac:dyDescent="0.3">
      <c r="A65" s="215"/>
      <c r="I65" s="215"/>
    </row>
    <row r="66" spans="1:9" x14ac:dyDescent="0.3">
      <c r="A66" s="215"/>
      <c r="I66" s="215"/>
    </row>
    <row r="73" spans="1:9" x14ac:dyDescent="0.3">
      <c r="A73" s="216"/>
    </row>
    <row r="74" spans="1:9" x14ac:dyDescent="0.3">
      <c r="A74" s="216"/>
    </row>
    <row r="75" spans="1:9" x14ac:dyDescent="0.3">
      <c r="A75" s="216"/>
    </row>
    <row r="76" spans="1:9" x14ac:dyDescent="0.3">
      <c r="A76" s="216"/>
    </row>
    <row r="77" spans="1:9" x14ac:dyDescent="0.3">
      <c r="A77" s="216"/>
    </row>
    <row r="78" spans="1:9" x14ac:dyDescent="0.3">
      <c r="A78" s="216"/>
    </row>
    <row r="79" spans="1:9" x14ac:dyDescent="0.3">
      <c r="A79" s="216"/>
    </row>
    <row r="80" spans="1:9" x14ac:dyDescent="0.3">
      <c r="A80" s="216"/>
    </row>
    <row r="81" spans="1:1" x14ac:dyDescent="0.3">
      <c r="A81" s="216"/>
    </row>
    <row r="82" spans="1:1" x14ac:dyDescent="0.3">
      <c r="A82" s="216"/>
    </row>
    <row r="83" spans="1:1" x14ac:dyDescent="0.3">
      <c r="A83" s="216"/>
    </row>
    <row r="84" spans="1:1" x14ac:dyDescent="0.3">
      <c r="A84" s="215"/>
    </row>
    <row r="85" spans="1:1" x14ac:dyDescent="0.3">
      <c r="A85" s="215"/>
    </row>
  </sheetData>
  <mergeCells count="2">
    <mergeCell ref="A3:A5"/>
    <mergeCell ref="E13:F13"/>
  </mergeCells>
  <hyperlinks>
    <hyperlink ref="G4" r:id="rId1" xr:uid="{00000000-0004-0000-0200-000000000000}"/>
    <hyperlink ref="I36" r:id="rId2" location="PVP" xr:uid="{D26FCA20-730D-4A5A-B923-8408DF23A1C9}"/>
  </hyperlinks>
  <pageMargins left="0.7" right="0.7" top="0.75" bottom="0.75" header="0.3" footer="0.3"/>
  <pageSetup paperSize="9" orientation="portrait" r:id="rId3"/>
  <drawing r:id="rId4"/>
  <legacy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9" tint="0.39997558519241921"/>
  </sheetPr>
  <dimension ref="A1:J38"/>
  <sheetViews>
    <sheetView workbookViewId="0">
      <selection activeCell="C29" sqref="C29"/>
    </sheetView>
  </sheetViews>
  <sheetFormatPr defaultRowHeight="14.4" x14ac:dyDescent="0.3"/>
  <cols>
    <col min="1" max="1" width="10.5546875" bestFit="1" customWidth="1"/>
    <col min="2" max="2" width="44" bestFit="1" customWidth="1"/>
    <col min="3" max="3" width="14.6640625" bestFit="1" customWidth="1"/>
    <col min="4" max="4" width="22.6640625" customWidth="1"/>
    <col min="5" max="5" width="13.33203125" customWidth="1"/>
    <col min="6" max="6" width="41.6640625" bestFit="1" customWidth="1"/>
    <col min="7" max="7" width="26.88671875" bestFit="1" customWidth="1"/>
    <col min="8" max="8" width="14.33203125" bestFit="1" customWidth="1"/>
    <col min="9" max="9" width="20.5546875" customWidth="1"/>
    <col min="10" max="10" width="16.33203125" bestFit="1" customWidth="1"/>
  </cols>
  <sheetData>
    <row r="1" spans="1:10" x14ac:dyDescent="0.3">
      <c r="A1" t="s">
        <v>2</v>
      </c>
      <c r="B1" t="s">
        <v>3</v>
      </c>
    </row>
    <row r="3" spans="1:10" x14ac:dyDescent="0.3">
      <c r="B3" s="11" t="s">
        <v>10</v>
      </c>
      <c r="C3" s="114" t="s">
        <v>197</v>
      </c>
      <c r="D3" s="114" t="s">
        <v>198</v>
      </c>
      <c r="E3" s="114" t="s">
        <v>374</v>
      </c>
      <c r="F3" s="12" t="s">
        <v>16</v>
      </c>
      <c r="G3" s="12" t="s">
        <v>18</v>
      </c>
    </row>
    <row r="4" spans="1:10" x14ac:dyDescent="0.3">
      <c r="B4" s="10" t="s">
        <v>4</v>
      </c>
      <c r="C4" s="115" t="s">
        <v>377</v>
      </c>
      <c r="D4" s="116">
        <f>VLOOKUP(C4,'PV Products'!C2:M9,2,FALSE)</f>
        <v>4</v>
      </c>
      <c r="E4" s="292">
        <f>VLOOKUP(C4,'PV Products'!$C$2:$M$9,5,FALSE)</f>
        <v>420</v>
      </c>
      <c r="F4" s="1">
        <f>'1. Site details'!D3</f>
        <v>1000</v>
      </c>
      <c r="G4" s="14">
        <f>D4*E4*F4</f>
        <v>1680000</v>
      </c>
      <c r="H4" s="34" t="s">
        <v>184</v>
      </c>
    </row>
    <row r="5" spans="1:10" x14ac:dyDescent="0.3">
      <c r="B5" s="10" t="s">
        <v>8</v>
      </c>
      <c r="C5" s="115" t="s">
        <v>381</v>
      </c>
      <c r="D5" s="115"/>
      <c r="E5" s="291">
        <f>VLOOKUP(C5,'Battery Products'!D2:H11,5,FALSE)</f>
        <v>292.96875</v>
      </c>
      <c r="F5" t="s">
        <v>19</v>
      </c>
      <c r="G5" s="14">
        <f>'4b. Energy Summaries'!F3*E5</f>
        <v>1265384.2037671232</v>
      </c>
      <c r="H5" s="119">
        <v>2306395</v>
      </c>
      <c r="I5" s="34" t="s">
        <v>183</v>
      </c>
      <c r="J5" s="75" t="s">
        <v>181</v>
      </c>
    </row>
    <row r="6" spans="1:10" x14ac:dyDescent="0.3">
      <c r="B6" s="10" t="s">
        <v>21</v>
      </c>
      <c r="C6" s="115"/>
      <c r="D6" s="115"/>
      <c r="E6" s="115"/>
      <c r="F6" t="s">
        <v>20</v>
      </c>
      <c r="G6" t="s">
        <v>168</v>
      </c>
    </row>
    <row r="7" spans="1:10" x14ac:dyDescent="0.3">
      <c r="B7" s="10" t="s">
        <v>17</v>
      </c>
      <c r="C7" s="115"/>
      <c r="D7" s="115"/>
      <c r="E7" s="115"/>
      <c r="F7" t="s">
        <v>15</v>
      </c>
      <c r="G7" t="s">
        <v>168</v>
      </c>
    </row>
    <row r="8" spans="1:10" x14ac:dyDescent="0.3">
      <c r="B8" s="10" t="s">
        <v>11</v>
      </c>
      <c r="C8" s="115"/>
      <c r="D8" s="115"/>
      <c r="E8" s="115"/>
      <c r="F8" t="s">
        <v>23</v>
      </c>
      <c r="G8" s="13">
        <v>200000</v>
      </c>
      <c r="I8" s="12" t="s">
        <v>28</v>
      </c>
    </row>
    <row r="9" spans="1:10" x14ac:dyDescent="0.3">
      <c r="F9" s="9" t="s">
        <v>27</v>
      </c>
      <c r="G9" s="30">
        <f>SUM(G4+G5+G8)</f>
        <v>3145384.2037671232</v>
      </c>
      <c r="I9" s="117" t="s">
        <v>29</v>
      </c>
    </row>
    <row r="16" spans="1:10" x14ac:dyDescent="0.3">
      <c r="G16" s="30"/>
    </row>
    <row r="18" spans="1:9" x14ac:dyDescent="0.3">
      <c r="A18" s="74"/>
      <c r="B18" s="74"/>
      <c r="C18" s="74"/>
      <c r="D18" s="74"/>
      <c r="E18" s="74"/>
      <c r="F18" s="74"/>
      <c r="G18" s="74"/>
      <c r="H18" s="74"/>
      <c r="I18" s="74"/>
    </row>
    <row r="19" spans="1:9" x14ac:dyDescent="0.3">
      <c r="A19" s="74"/>
      <c r="B19" s="74"/>
      <c r="C19" s="74"/>
      <c r="D19" s="74"/>
      <c r="E19" s="74"/>
      <c r="F19" s="74"/>
      <c r="G19" s="74"/>
      <c r="H19" s="74"/>
      <c r="I19" s="74"/>
    </row>
    <row r="20" spans="1:9" x14ac:dyDescent="0.3">
      <c r="A20" s="74"/>
      <c r="B20" s="207"/>
      <c r="C20" s="207"/>
      <c r="D20" s="207"/>
      <c r="E20" s="207"/>
      <c r="F20" s="207"/>
      <c r="G20" s="207"/>
      <c r="H20" s="207"/>
      <c r="I20" s="74"/>
    </row>
    <row r="21" spans="1:9" x14ac:dyDescent="0.3">
      <c r="A21" s="74"/>
      <c r="B21" s="207"/>
      <c r="C21" s="208"/>
      <c r="D21" s="208"/>
      <c r="E21" s="208"/>
      <c r="F21" s="208"/>
      <c r="G21" s="209"/>
      <c r="H21" s="235"/>
      <c r="I21" s="74"/>
    </row>
    <row r="22" spans="1:9" x14ac:dyDescent="0.3">
      <c r="A22" s="74"/>
      <c r="B22" s="208"/>
      <c r="C22" s="208"/>
      <c r="D22" s="208"/>
      <c r="E22" s="208"/>
      <c r="F22" s="208"/>
      <c r="G22" s="74"/>
      <c r="H22" s="290"/>
      <c r="I22" s="74"/>
    </row>
    <row r="23" spans="1:9" x14ac:dyDescent="0.3">
      <c r="A23" s="74"/>
      <c r="B23" s="208"/>
      <c r="C23" s="208"/>
      <c r="D23" s="208"/>
      <c r="E23" s="208"/>
      <c r="F23" s="208"/>
      <c r="G23" s="208"/>
      <c r="H23" s="208"/>
      <c r="I23" s="74"/>
    </row>
    <row r="24" spans="1:9" x14ac:dyDescent="0.3">
      <c r="A24" s="74"/>
      <c r="B24" s="207"/>
      <c r="C24" s="208"/>
      <c r="D24" s="208"/>
      <c r="E24" s="208"/>
      <c r="F24" s="208"/>
      <c r="G24" s="209"/>
      <c r="H24" s="235"/>
      <c r="I24" s="74"/>
    </row>
    <row r="25" spans="1:9" x14ac:dyDescent="0.3">
      <c r="A25" s="74"/>
      <c r="B25" s="208"/>
      <c r="C25" s="208"/>
      <c r="D25" s="208"/>
      <c r="E25" s="208"/>
      <c r="F25" s="208"/>
      <c r="G25" s="209"/>
      <c r="H25" s="235"/>
      <c r="I25" s="74"/>
    </row>
    <row r="26" spans="1:9" x14ac:dyDescent="0.3">
      <c r="A26" s="74"/>
      <c r="B26" s="74"/>
      <c r="C26" s="74"/>
      <c r="D26" s="74"/>
      <c r="E26" s="74"/>
      <c r="F26" s="74"/>
      <c r="G26" s="74"/>
      <c r="H26" s="74"/>
      <c r="I26" s="74"/>
    </row>
    <row r="27" spans="1:9" x14ac:dyDescent="0.3">
      <c r="A27" s="74"/>
      <c r="B27" s="74"/>
      <c r="C27" s="74"/>
      <c r="D27" s="74"/>
      <c r="E27" s="74"/>
      <c r="F27" s="74"/>
      <c r="G27" s="274"/>
      <c r="H27" s="274"/>
      <c r="I27" s="74"/>
    </row>
    <row r="28" spans="1:9" x14ac:dyDescent="0.3">
      <c r="A28" s="74"/>
      <c r="B28" s="74"/>
      <c r="C28" s="74"/>
      <c r="D28" s="74"/>
      <c r="E28" s="74"/>
      <c r="F28" s="74"/>
      <c r="G28" s="74"/>
      <c r="H28" s="74"/>
      <c r="I28" s="74"/>
    </row>
    <row r="29" spans="1:9" x14ac:dyDescent="0.3">
      <c r="A29" s="74"/>
      <c r="B29" s="74"/>
      <c r="C29" s="74"/>
      <c r="D29" s="74"/>
      <c r="E29" s="74"/>
      <c r="F29" s="74"/>
      <c r="G29" s="74"/>
      <c r="H29" s="74"/>
      <c r="I29" s="74"/>
    </row>
    <row r="30" spans="1:9" x14ac:dyDescent="0.3">
      <c r="A30" s="74"/>
      <c r="B30" s="74"/>
      <c r="C30" s="74"/>
      <c r="D30" s="74"/>
      <c r="E30" s="74"/>
      <c r="F30" s="74"/>
      <c r="G30" s="74"/>
      <c r="H30" s="74"/>
      <c r="I30" s="74"/>
    </row>
    <row r="31" spans="1:9" x14ac:dyDescent="0.3">
      <c r="A31" s="74"/>
      <c r="B31" s="74"/>
      <c r="C31" s="74"/>
      <c r="D31" s="74"/>
      <c r="E31" s="74"/>
      <c r="F31" s="74"/>
      <c r="G31" s="74"/>
      <c r="H31" s="74"/>
      <c r="I31" s="74"/>
    </row>
    <row r="32" spans="1:9" x14ac:dyDescent="0.3">
      <c r="A32" s="74"/>
      <c r="B32" s="74"/>
      <c r="C32" s="74"/>
      <c r="D32" s="74"/>
      <c r="E32" s="74"/>
      <c r="F32" s="74"/>
      <c r="G32" s="74"/>
      <c r="H32" s="74"/>
      <c r="I32" s="74"/>
    </row>
    <row r="33" spans="1:9" x14ac:dyDescent="0.3">
      <c r="A33" s="74"/>
      <c r="B33" s="74"/>
      <c r="C33" s="74"/>
      <c r="D33" s="74"/>
      <c r="E33" s="74"/>
      <c r="F33" s="74"/>
      <c r="G33" s="74"/>
      <c r="H33" s="74"/>
      <c r="I33" s="74"/>
    </row>
    <row r="34" spans="1:9" x14ac:dyDescent="0.3">
      <c r="A34" s="74"/>
      <c r="B34" s="74"/>
      <c r="C34" s="74"/>
      <c r="D34" s="74"/>
      <c r="E34" s="74"/>
      <c r="F34" s="74"/>
      <c r="G34" s="74"/>
      <c r="H34" s="74"/>
      <c r="I34" s="74"/>
    </row>
    <row r="35" spans="1:9" x14ac:dyDescent="0.3">
      <c r="A35" s="74"/>
      <c r="B35" s="74"/>
      <c r="C35" s="74"/>
      <c r="D35" s="74"/>
      <c r="E35" s="74"/>
      <c r="F35" s="74"/>
      <c r="G35" s="74"/>
      <c r="H35" s="74"/>
      <c r="I35" s="74"/>
    </row>
    <row r="36" spans="1:9" x14ac:dyDescent="0.3">
      <c r="A36" s="74"/>
      <c r="B36" s="74"/>
      <c r="C36" s="74"/>
      <c r="D36" s="74"/>
      <c r="E36" s="74"/>
      <c r="F36" s="74"/>
      <c r="G36" s="74"/>
      <c r="H36" s="74"/>
      <c r="I36" s="74"/>
    </row>
    <row r="37" spans="1:9" x14ac:dyDescent="0.3">
      <c r="A37" s="74"/>
      <c r="B37" s="74"/>
      <c r="C37" s="74"/>
      <c r="D37" s="74"/>
      <c r="E37" s="74"/>
      <c r="F37" s="74"/>
      <c r="G37" s="74"/>
      <c r="H37" s="74"/>
      <c r="I37" s="74"/>
    </row>
    <row r="38" spans="1:9" x14ac:dyDescent="0.3">
      <c r="A38" s="74"/>
      <c r="B38" s="74"/>
      <c r="C38" s="74"/>
      <c r="D38" s="74"/>
      <c r="E38" s="74"/>
      <c r="F38" s="74"/>
      <c r="G38" s="74"/>
      <c r="H38" s="74"/>
      <c r="I38" s="74"/>
    </row>
  </sheetData>
  <pageMargins left="0.7" right="0.7" top="0.75" bottom="0.75" header="0.3" footer="0.3"/>
  <pageSetup paperSize="9" orientation="portrait" verticalDpi="597"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300-000001000000}">
          <x14:formula1>
            <xm:f>'PV Products'!$C$3:$C$9</xm:f>
          </x14:formula1>
          <xm:sqref>C4</xm:sqref>
        </x14:dataValidation>
        <x14:dataValidation type="list" allowBlank="1" showInputMessage="1" showErrorMessage="1" xr:uid="{E3D79016-7A00-4808-89CF-C62C8B49306E}">
          <x14:formula1>
            <xm:f>'Battery Products'!$D$3:$D$11</xm:f>
          </x14:formula1>
          <xm:sqref>C5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9" tint="0.39997558519241921"/>
  </sheetPr>
  <dimension ref="A1:H24"/>
  <sheetViews>
    <sheetView workbookViewId="0">
      <selection activeCell="C29" sqref="C29"/>
    </sheetView>
  </sheetViews>
  <sheetFormatPr defaultRowHeight="14.4" x14ac:dyDescent="0.3"/>
  <cols>
    <col min="1" max="1" width="10.5546875" bestFit="1" customWidth="1"/>
    <col min="2" max="2" width="43.33203125" bestFit="1" customWidth="1"/>
    <col min="3" max="5" width="18.6640625" customWidth="1"/>
    <col min="6" max="6" width="24.5546875" bestFit="1" customWidth="1"/>
    <col min="7" max="7" width="12.33203125" bestFit="1" customWidth="1"/>
    <col min="8" max="8" width="40.6640625" customWidth="1"/>
  </cols>
  <sheetData>
    <row r="1" spans="1:8" x14ac:dyDescent="0.3">
      <c r="A1" t="s">
        <v>2</v>
      </c>
      <c r="B1" t="s">
        <v>12</v>
      </c>
    </row>
    <row r="3" spans="1:8" ht="15" thickBot="1" x14ac:dyDescent="0.35">
      <c r="A3" t="s">
        <v>26</v>
      </c>
      <c r="H3" s="1" t="s">
        <v>169</v>
      </c>
    </row>
    <row r="4" spans="1:8" ht="15" thickBot="1" x14ac:dyDescent="0.35">
      <c r="B4" s="16"/>
      <c r="C4" s="87" t="s">
        <v>13</v>
      </c>
      <c r="D4" s="88" t="s">
        <v>14</v>
      </c>
      <c r="E4" s="88" t="s">
        <v>32</v>
      </c>
      <c r="F4" s="88" t="s">
        <v>33</v>
      </c>
      <c r="G4" s="89" t="s">
        <v>5</v>
      </c>
    </row>
    <row r="5" spans="1:8" x14ac:dyDescent="0.3">
      <c r="B5" s="16" t="s">
        <v>171</v>
      </c>
      <c r="C5" s="23">
        <v>0.5</v>
      </c>
      <c r="D5" s="6">
        <v>0.5</v>
      </c>
      <c r="E5" s="6"/>
      <c r="F5" s="6"/>
      <c r="G5" s="18"/>
      <c r="H5" t="s">
        <v>170</v>
      </c>
    </row>
    <row r="6" spans="1:8" x14ac:dyDescent="0.3">
      <c r="B6" s="15" t="s">
        <v>25</v>
      </c>
      <c r="C6" s="23">
        <f>'1. Site details'!D3*'3. Installation'!C5</f>
        <v>500</v>
      </c>
      <c r="D6" s="23">
        <v>5</v>
      </c>
      <c r="E6" s="23">
        <v>25</v>
      </c>
      <c r="F6" s="23">
        <v>10</v>
      </c>
      <c r="G6" s="24">
        <f>SUM(C6:F6)</f>
        <v>540</v>
      </c>
    </row>
    <row r="7" spans="1:8" x14ac:dyDescent="0.3">
      <c r="B7" s="15" t="s">
        <v>172</v>
      </c>
      <c r="C7" s="19">
        <v>556</v>
      </c>
      <c r="E7" s="19">
        <v>300</v>
      </c>
      <c r="F7" s="19">
        <v>300</v>
      </c>
      <c r="G7" s="20" t="s">
        <v>22</v>
      </c>
    </row>
    <row r="8" spans="1:8" ht="15" thickBot="1" x14ac:dyDescent="0.35">
      <c r="B8" s="15" t="s">
        <v>173</v>
      </c>
      <c r="C8" s="19">
        <v>139</v>
      </c>
      <c r="D8" s="19">
        <v>300</v>
      </c>
      <c r="E8" s="19"/>
      <c r="F8" s="19"/>
      <c r="G8" s="20"/>
    </row>
    <row r="9" spans="1:8" ht="15" thickBot="1" x14ac:dyDescent="0.35">
      <c r="B9" s="17" t="s">
        <v>24</v>
      </c>
      <c r="C9" s="21">
        <f>C6*C7</f>
        <v>278000</v>
      </c>
      <c r="D9" s="22">
        <f>D6*D8</f>
        <v>1500</v>
      </c>
      <c r="E9" s="22">
        <f>E6*E7</f>
        <v>7500</v>
      </c>
      <c r="F9" s="22">
        <f>F6*F7</f>
        <v>3000</v>
      </c>
      <c r="G9" s="130">
        <f>SUM(C9:F9)</f>
        <v>290000</v>
      </c>
      <c r="H9" t="s">
        <v>185</v>
      </c>
    </row>
    <row r="10" spans="1:8" x14ac:dyDescent="0.3">
      <c r="B10" s="26"/>
      <c r="C10" s="19"/>
      <c r="D10" s="19"/>
      <c r="E10" s="19"/>
      <c r="F10" s="19"/>
      <c r="G10" s="19"/>
    </row>
    <row r="24" ht="15" customHeight="1" x14ac:dyDescent="0.3"/>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39997558519241921"/>
  </sheetPr>
  <dimension ref="A1:E14"/>
  <sheetViews>
    <sheetView workbookViewId="0">
      <pane xSplit="2" ySplit="2" topLeftCell="C3" activePane="bottomRight" state="frozen"/>
      <selection pane="topRight" activeCell="C1" sqref="C1"/>
      <selection pane="bottomLeft" activeCell="A3" sqref="A3"/>
      <selection pane="bottomRight" activeCell="D19" sqref="D19"/>
    </sheetView>
  </sheetViews>
  <sheetFormatPr defaultRowHeight="14.4" x14ac:dyDescent="0.3"/>
  <cols>
    <col min="1" max="1" width="10.5546875" bestFit="1" customWidth="1"/>
    <col min="2" max="2" width="39.33203125" bestFit="1" customWidth="1"/>
    <col min="3" max="3" width="14.109375" bestFit="1" customWidth="1"/>
    <col min="4" max="4" width="4.5546875" bestFit="1" customWidth="1"/>
  </cols>
  <sheetData>
    <row r="1" spans="1:5" x14ac:dyDescent="0.3">
      <c r="A1" t="s">
        <v>2</v>
      </c>
      <c r="B1" t="s">
        <v>34</v>
      </c>
    </row>
    <row r="2" spans="1:5" ht="15" thickBot="1" x14ac:dyDescent="0.35"/>
    <row r="3" spans="1:5" ht="15" customHeight="1" x14ac:dyDescent="0.3">
      <c r="A3" s="428" t="s">
        <v>161</v>
      </c>
      <c r="B3" s="90" t="s">
        <v>30</v>
      </c>
      <c r="C3" s="91">
        <f>'2. Hardware'!G9</f>
        <v>3145384.2037671232</v>
      </c>
      <c r="D3" s="2"/>
      <c r="E3" s="3"/>
    </row>
    <row r="4" spans="1:5" x14ac:dyDescent="0.3">
      <c r="A4" s="429"/>
      <c r="B4" s="33" t="s">
        <v>31</v>
      </c>
      <c r="C4" s="129">
        <f>'3. Installation'!G9</f>
        <v>290000</v>
      </c>
      <c r="D4" s="4"/>
      <c r="E4" s="5"/>
    </row>
    <row r="5" spans="1:5" ht="15" thickBot="1" x14ac:dyDescent="0.35">
      <c r="A5" s="430"/>
      <c r="B5" s="92" t="s">
        <v>5</v>
      </c>
      <c r="C5" s="113">
        <f>SUM(C3:C4)</f>
        <v>3435384.2037671232</v>
      </c>
      <c r="D5" s="7"/>
      <c r="E5" s="8"/>
    </row>
    <row r="6" spans="1:5" ht="15" thickBot="1" x14ac:dyDescent="0.35">
      <c r="B6" s="11"/>
      <c r="D6" s="76"/>
    </row>
    <row r="7" spans="1:5" x14ac:dyDescent="0.3">
      <c r="A7" s="431" t="s">
        <v>137</v>
      </c>
      <c r="B7" s="27" t="s">
        <v>138</v>
      </c>
      <c r="C7" s="2" t="s">
        <v>139</v>
      </c>
      <c r="D7" s="120">
        <v>0</v>
      </c>
      <c r="E7" s="3"/>
    </row>
    <row r="8" spans="1:5" ht="15" thickBot="1" x14ac:dyDescent="0.35">
      <c r="A8" s="432"/>
      <c r="B8" s="28" t="s">
        <v>140</v>
      </c>
      <c r="C8" s="7" t="s">
        <v>139</v>
      </c>
      <c r="D8" s="121">
        <v>0</v>
      </c>
      <c r="E8" s="8"/>
    </row>
    <row r="12" spans="1:5" hidden="1" x14ac:dyDescent="0.3">
      <c r="A12" s="186"/>
      <c r="B12" s="27" t="s">
        <v>210</v>
      </c>
      <c r="C12" s="2"/>
      <c r="D12" s="2"/>
      <c r="E12" s="3"/>
    </row>
    <row r="13" spans="1:5" ht="15" hidden="1" thickBot="1" x14ac:dyDescent="0.35">
      <c r="A13" s="180"/>
      <c r="B13" s="28" t="s">
        <v>209</v>
      </c>
      <c r="C13" s="7" t="s">
        <v>108</v>
      </c>
      <c r="D13" s="127">
        <v>0</v>
      </c>
      <c r="E13" s="8"/>
    </row>
    <row r="14" spans="1:5" x14ac:dyDescent="0.3">
      <c r="D14" s="76"/>
    </row>
  </sheetData>
  <mergeCells count="2">
    <mergeCell ref="A3:A5"/>
    <mergeCell ref="A7:A8"/>
  </mergeCells>
  <pageMargins left="0.7" right="0.7" top="0.75" bottom="0.75" header="0.3" footer="0.3"/>
  <pageSetup paperSize="9" orientation="portrait" verticalDpi="597"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tint="0.39997558519241921"/>
  </sheetPr>
  <dimension ref="B1:O17"/>
  <sheetViews>
    <sheetView workbookViewId="0">
      <selection activeCell="J19" sqref="J19"/>
    </sheetView>
  </sheetViews>
  <sheetFormatPr defaultRowHeight="14.4" x14ac:dyDescent="0.3"/>
  <cols>
    <col min="3" max="3" width="22.88671875" bestFit="1" customWidth="1"/>
    <col min="4" max="4" width="29.33203125" bestFit="1" customWidth="1"/>
    <col min="5" max="5" width="10.5546875" bestFit="1" customWidth="1"/>
    <col min="6" max="6" width="8" bestFit="1" customWidth="1"/>
    <col min="7" max="7" width="17" bestFit="1" customWidth="1"/>
    <col min="8" max="8" width="22" hidden="1" customWidth="1"/>
    <col min="9" max="9" width="19.88671875" customWidth="1"/>
    <col min="15" max="15" width="22.109375" bestFit="1" customWidth="1"/>
  </cols>
  <sheetData>
    <row r="1" spans="2:15" ht="15" thickBot="1" x14ac:dyDescent="0.35"/>
    <row r="2" spans="2:15" x14ac:dyDescent="0.3">
      <c r="B2" s="433" t="s">
        <v>162</v>
      </c>
      <c r="C2" s="93" t="s">
        <v>166</v>
      </c>
      <c r="D2" s="94" t="s">
        <v>167</v>
      </c>
      <c r="E2" s="104" t="s">
        <v>129</v>
      </c>
      <c r="F2" s="102">
        <f>('PV Products'!D3*'1. Site details'!D3)</f>
        <v>4000</v>
      </c>
      <c r="G2" s="95" t="s">
        <v>111</v>
      </c>
      <c r="H2" s="96" t="s">
        <v>134</v>
      </c>
      <c r="I2" s="3"/>
    </row>
    <row r="3" spans="2:15" x14ac:dyDescent="0.3">
      <c r="B3" s="434"/>
      <c r="C3" s="83" t="s">
        <v>62</v>
      </c>
      <c r="D3" s="74" t="s">
        <v>133</v>
      </c>
      <c r="E3" s="32" t="s">
        <v>109</v>
      </c>
      <c r="F3" s="103">
        <f>F4/365*F2*(1-F5)*F6</f>
        <v>4319.17808219178</v>
      </c>
      <c r="G3" s="181">
        <f>ROUNDUP(4794.52054794521,0)</f>
        <v>4795</v>
      </c>
      <c r="H3" s="118" t="s">
        <v>182</v>
      </c>
      <c r="I3" s="5"/>
    </row>
    <row r="4" spans="2:15" x14ac:dyDescent="0.3">
      <c r="B4" s="435"/>
      <c r="C4" s="83" t="s">
        <v>130</v>
      </c>
      <c r="D4" s="74" t="s">
        <v>131</v>
      </c>
      <c r="E4" s="32" t="s">
        <v>132</v>
      </c>
      <c r="F4" s="103">
        <v>788.25</v>
      </c>
      <c r="G4" s="74" t="s">
        <v>135</v>
      </c>
      <c r="H4" s="97" t="s">
        <v>104</v>
      </c>
      <c r="I4" s="5"/>
    </row>
    <row r="5" spans="2:15" x14ac:dyDescent="0.3">
      <c r="B5" s="435"/>
      <c r="C5" s="98" t="s">
        <v>112</v>
      </c>
      <c r="D5" s="74" t="s">
        <v>113</v>
      </c>
      <c r="E5" s="32"/>
      <c r="F5" s="99">
        <f>'1. Site details'!D8</f>
        <v>0.5</v>
      </c>
      <c r="G5" s="4" t="s">
        <v>136</v>
      </c>
      <c r="H5" s="4"/>
      <c r="I5" s="5"/>
    </row>
    <row r="6" spans="2:15" ht="15" thickBot="1" x14ac:dyDescent="0.35">
      <c r="B6" s="436"/>
      <c r="C6" s="100" t="s">
        <v>47</v>
      </c>
      <c r="D6" s="101" t="s">
        <v>115</v>
      </c>
      <c r="E6" s="105"/>
      <c r="F6" s="85">
        <f>'1. Site details'!D9</f>
        <v>1</v>
      </c>
      <c r="G6" s="7" t="s">
        <v>136</v>
      </c>
      <c r="H6" s="7"/>
      <c r="I6" s="8"/>
    </row>
    <row r="8" spans="2:15" ht="19.2" hidden="1" customHeight="1" x14ac:dyDescent="0.3">
      <c r="B8" s="437" t="s">
        <v>208</v>
      </c>
      <c r="C8" s="27" t="s">
        <v>122</v>
      </c>
      <c r="D8" s="2" t="s">
        <v>126</v>
      </c>
      <c r="E8" s="2" t="s">
        <v>120</v>
      </c>
      <c r="F8" s="125">
        <v>4</v>
      </c>
      <c r="G8" s="2"/>
      <c r="H8" s="126" t="s">
        <v>123</v>
      </c>
      <c r="I8" s="3"/>
    </row>
    <row r="9" spans="2:15" ht="18" hidden="1" customHeight="1" thickBot="1" x14ac:dyDescent="0.35">
      <c r="B9" s="438"/>
      <c r="C9" s="28" t="s">
        <v>124</v>
      </c>
      <c r="D9" s="7" t="s">
        <v>125</v>
      </c>
      <c r="E9" s="7" t="s">
        <v>120</v>
      </c>
      <c r="F9" s="182">
        <v>17</v>
      </c>
      <c r="G9" s="7"/>
      <c r="H9" s="183">
        <f>296/1560</f>
        <v>0.18974358974358974</v>
      </c>
      <c r="I9" s="184" t="s">
        <v>184</v>
      </c>
    </row>
    <row r="15" spans="2:15" x14ac:dyDescent="0.3">
      <c r="M15">
        <f>(875*4000)</f>
        <v>3500000</v>
      </c>
      <c r="N15" t="s">
        <v>353</v>
      </c>
      <c r="O15" t="s">
        <v>352</v>
      </c>
    </row>
    <row r="16" spans="2:15" x14ac:dyDescent="0.3">
      <c r="M16">
        <f>(M15/365)</f>
        <v>9589.0410958904104</v>
      </c>
      <c r="N16" t="s">
        <v>354</v>
      </c>
      <c r="O16" t="s">
        <v>352</v>
      </c>
    </row>
    <row r="17" spans="13:15" x14ac:dyDescent="0.3">
      <c r="M17">
        <f>(M16*(1-F5)*F6)</f>
        <v>4794.5205479452052</v>
      </c>
      <c r="N17" t="s">
        <v>109</v>
      </c>
      <c r="O17" t="s">
        <v>355</v>
      </c>
    </row>
  </sheetData>
  <mergeCells count="2">
    <mergeCell ref="B2:B6"/>
    <mergeCell ref="B8:B9"/>
  </mergeCells>
  <hyperlinks>
    <hyperlink ref="H8" r:id="rId1" xr:uid="{00000000-0004-0000-0500-000000000000}"/>
  </hyperlinks>
  <pageMargins left="0.7" right="0.7" top="0.75" bottom="0.75" header="0.3" footer="0.3"/>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'1. Site details'!$B$48:$B$50</xm:f>
          </x14:formula1>
          <xm:sqref>F4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9" tint="0.39997558519241921"/>
  </sheetPr>
  <dimension ref="B1:AU97"/>
  <sheetViews>
    <sheetView tabSelected="1" zoomScaleNormal="100" workbookViewId="0">
      <pane xSplit="7" ySplit="17" topLeftCell="I45" activePane="bottomRight" state="frozen"/>
      <selection pane="topRight" activeCell="E1" sqref="E1"/>
      <selection pane="bottomLeft" activeCell="A10" sqref="A10"/>
      <selection pane="bottomRight" activeCell="J7" sqref="J7"/>
    </sheetView>
  </sheetViews>
  <sheetFormatPr defaultRowHeight="14.4" x14ac:dyDescent="0.3"/>
  <cols>
    <col min="1" max="1" width="3" customWidth="1"/>
    <col min="2" max="2" width="43.109375" bestFit="1" customWidth="1"/>
    <col min="3" max="3" width="6.6640625" customWidth="1"/>
    <col min="4" max="4" width="18.33203125" customWidth="1"/>
    <col min="5" max="5" width="43.5546875" style="128" customWidth="1"/>
    <col min="6" max="6" width="6.6640625" style="128" bestFit="1" customWidth="1"/>
    <col min="7" max="7" width="13.33203125" style="128" bestFit="1" customWidth="1"/>
    <col min="8" max="8" width="11.5546875" style="128" bestFit="1" customWidth="1"/>
    <col min="9" max="9" width="17.6640625" style="128" bestFit="1" customWidth="1"/>
    <col min="10" max="10" width="16" style="128" customWidth="1"/>
    <col min="11" max="11" width="11.44140625" style="128" bestFit="1" customWidth="1"/>
    <col min="12" max="16" width="10.109375" style="128" bestFit="1" customWidth="1"/>
    <col min="17" max="17" width="10.5546875" style="128" customWidth="1"/>
    <col min="18" max="19" width="9.33203125" style="128" customWidth="1"/>
    <col min="20" max="22" width="9.44140625" style="128" bestFit="1" customWidth="1"/>
    <col min="23" max="23" width="10.44140625" style="128" bestFit="1" customWidth="1"/>
    <col min="24" max="24" width="11.44140625" style="128" bestFit="1" customWidth="1"/>
    <col min="25" max="25" width="11.33203125" style="128" bestFit="1" customWidth="1"/>
    <col min="26" max="28" width="11.44140625" style="128" bestFit="1" customWidth="1"/>
    <col min="29" max="32" width="11.33203125" style="128" bestFit="1" customWidth="1"/>
    <col min="33" max="47" width="10.44140625" style="128" bestFit="1" customWidth="1"/>
  </cols>
  <sheetData>
    <row r="1" spans="2:47" ht="15" thickBot="1" x14ac:dyDescent="0.35">
      <c r="B1" s="338" t="s">
        <v>200</v>
      </c>
      <c r="C1" s="133"/>
      <c r="D1" s="133"/>
    </row>
    <row r="2" spans="2:47" ht="15" thickBot="1" x14ac:dyDescent="0.35">
      <c r="B2" s="172" t="s">
        <v>397</v>
      </c>
      <c r="C2" s="171"/>
      <c r="D2" s="160">
        <v>0.25</v>
      </c>
      <c r="E2" s="132" t="s">
        <v>204</v>
      </c>
      <c r="F2" s="177" t="s">
        <v>205</v>
      </c>
      <c r="G2" s="159">
        <f>MATCH($G$3,$H$79:$AK$79,1)</f>
        <v>24</v>
      </c>
    </row>
    <row r="3" spans="2:47" ht="15" thickBot="1" x14ac:dyDescent="0.35">
      <c r="B3" s="172" t="s">
        <v>432</v>
      </c>
      <c r="C3" s="171"/>
      <c r="D3" s="124">
        <v>3.000000000000002E-2</v>
      </c>
      <c r="E3" s="132" t="s">
        <v>199</v>
      </c>
      <c r="F3" s="177" t="s">
        <v>121</v>
      </c>
      <c r="G3" s="173">
        <f t="array" ref="G3">MIN(IF(H79:AK79&gt;G76,H79:AK79))</f>
        <v>3569013.0442079701</v>
      </c>
    </row>
    <row r="4" spans="2:47" ht="15" thickBot="1" x14ac:dyDescent="0.35">
      <c r="B4" s="379" t="s">
        <v>420</v>
      </c>
      <c r="C4" s="384"/>
      <c r="D4" s="385">
        <v>0.8</v>
      </c>
      <c r="E4" s="132" t="s">
        <v>201</v>
      </c>
      <c r="F4" s="177" t="s">
        <v>205</v>
      </c>
      <c r="G4" s="174">
        <f>MATCH($G$5,$H$81:$AO$81,0)</f>
        <v>24</v>
      </c>
    </row>
    <row r="5" spans="2:47" ht="15" thickBot="1" x14ac:dyDescent="0.35">
      <c r="E5" s="132" t="s">
        <v>202</v>
      </c>
      <c r="F5" s="177" t="s">
        <v>121</v>
      </c>
      <c r="G5" s="174">
        <f>HLOOKUP(G76,E80:AU81,2,FALSE)</f>
        <v>133628.84044084698</v>
      </c>
    </row>
    <row r="6" spans="2:47" ht="15" thickBot="1" x14ac:dyDescent="0.35">
      <c r="E6" s="371" t="s">
        <v>419</v>
      </c>
      <c r="F6" s="372" t="s">
        <v>108</v>
      </c>
      <c r="G6" s="373">
        <f ca="1">SUM(OFFSET(H52,0,0,1,G2))/G2</f>
        <v>0.41285113564569814</v>
      </c>
    </row>
    <row r="7" spans="2:47" ht="3" customHeight="1" thickBot="1" x14ac:dyDescent="0.35">
      <c r="B7" s="369"/>
      <c r="C7" s="369"/>
      <c r="D7" s="369"/>
      <c r="E7" s="370"/>
      <c r="F7" s="370"/>
      <c r="G7" s="370"/>
    </row>
    <row r="8" spans="2:47" s="69" customFormat="1" ht="15" thickBot="1" x14ac:dyDescent="0.35">
      <c r="B8" s="379" t="s">
        <v>399</v>
      </c>
      <c r="C8" s="380" t="s">
        <v>108</v>
      </c>
      <c r="D8" s="374">
        <v>0.5</v>
      </c>
      <c r="E8" s="379" t="s">
        <v>415</v>
      </c>
      <c r="F8" s="381" t="s">
        <v>121</v>
      </c>
      <c r="G8" s="377">
        <f>SUM(H59:AU59)</f>
        <v>838801.22283156845</v>
      </c>
      <c r="H8" s="133"/>
      <c r="I8" s="133"/>
      <c r="J8" s="133"/>
      <c r="K8" s="133"/>
      <c r="L8" s="133"/>
      <c r="M8" s="133"/>
      <c r="N8" s="133"/>
      <c r="O8" s="133"/>
      <c r="P8" s="133"/>
      <c r="Q8" s="133"/>
      <c r="R8" s="133"/>
      <c r="S8" s="133"/>
      <c r="T8" s="133"/>
      <c r="U8" s="133"/>
      <c r="V8" s="133"/>
      <c r="W8" s="133"/>
      <c r="X8" s="133"/>
      <c r="Y8" s="133"/>
      <c r="Z8" s="133"/>
      <c r="AA8" s="133"/>
      <c r="AB8" s="133"/>
      <c r="AC8" s="133"/>
      <c r="AD8" s="133"/>
      <c r="AE8" s="133"/>
      <c r="AF8" s="133"/>
      <c r="AG8" s="133"/>
      <c r="AH8" s="133"/>
      <c r="AI8" s="133"/>
      <c r="AJ8" s="133"/>
      <c r="AK8" s="133"/>
      <c r="AL8" s="133"/>
      <c r="AM8" s="133"/>
      <c r="AN8" s="133"/>
      <c r="AO8" s="133"/>
      <c r="AP8" s="133"/>
      <c r="AQ8" s="133"/>
      <c r="AR8" s="133"/>
      <c r="AS8" s="133"/>
      <c r="AT8" s="133"/>
      <c r="AU8" s="133"/>
    </row>
    <row r="9" spans="2:47" ht="15" thickBot="1" x14ac:dyDescent="0.35">
      <c r="B9" s="379" t="s">
        <v>407</v>
      </c>
      <c r="C9" s="380" t="s">
        <v>108</v>
      </c>
      <c r="D9" s="375">
        <v>5.0000000000000001E-3</v>
      </c>
      <c r="E9" s="379" t="s">
        <v>408</v>
      </c>
      <c r="F9" s="380" t="s">
        <v>108</v>
      </c>
      <c r="G9" s="378">
        <f ca="1">SUM(OFFSET(H72,0,0,1,G2))/G2</f>
        <v>3.5173549413480561E-2</v>
      </c>
    </row>
    <row r="10" spans="2:47" ht="15" thickBot="1" x14ac:dyDescent="0.35">
      <c r="B10" s="379" t="s">
        <v>406</v>
      </c>
      <c r="C10" s="380" t="s">
        <v>121</v>
      </c>
      <c r="D10" s="376">
        <f>LARGE(H69:AU69,1)+LARGE(H70:AU70,1)</f>
        <v>1251047.3272836234</v>
      </c>
      <c r="E10" s="379" t="s">
        <v>434</v>
      </c>
      <c r="F10" s="382" t="s">
        <v>108</v>
      </c>
      <c r="G10" s="375">
        <f>1-H47</f>
        <v>0.44715577574808829</v>
      </c>
    </row>
    <row r="11" spans="2:47" ht="15" thickBot="1" x14ac:dyDescent="0.35">
      <c r="E11" s="331"/>
      <c r="F11" s="133"/>
      <c r="G11" s="422">
        <f>G2</f>
        <v>24</v>
      </c>
      <c r="H11" s="155"/>
      <c r="W11" s="366"/>
    </row>
    <row r="12" spans="2:47" ht="15" thickBot="1" x14ac:dyDescent="0.35">
      <c r="E12" s="132" t="s">
        <v>213</v>
      </c>
      <c r="G12" s="423">
        <f>G2-G11</f>
        <v>0</v>
      </c>
    </row>
    <row r="13" spans="2:47" x14ac:dyDescent="0.3">
      <c r="E13" s="149" t="s">
        <v>40</v>
      </c>
      <c r="F13" s="139"/>
    </row>
    <row r="14" spans="2:47" ht="2.4" customHeight="1" x14ac:dyDescent="0.3">
      <c r="F14" s="139"/>
    </row>
    <row r="15" spans="2:47" x14ac:dyDescent="0.3">
      <c r="E15" s="132" t="s">
        <v>0</v>
      </c>
      <c r="F15" s="139"/>
      <c r="G15" s="133">
        <v>0</v>
      </c>
      <c r="H15" s="128">
        <f>G15+1</f>
        <v>1</v>
      </c>
      <c r="I15" s="128">
        <f t="shared" ref="I15:AU15" si="0">H15+1</f>
        <v>2</v>
      </c>
      <c r="J15" s="128">
        <f t="shared" si="0"/>
        <v>3</v>
      </c>
      <c r="K15" s="128">
        <f t="shared" si="0"/>
        <v>4</v>
      </c>
      <c r="L15" s="128">
        <f t="shared" si="0"/>
        <v>5</v>
      </c>
      <c r="M15" s="128">
        <f t="shared" si="0"/>
        <v>6</v>
      </c>
      <c r="N15" s="128">
        <f t="shared" si="0"/>
        <v>7</v>
      </c>
      <c r="O15" s="128">
        <f t="shared" si="0"/>
        <v>8</v>
      </c>
      <c r="P15" s="128">
        <f t="shared" si="0"/>
        <v>9</v>
      </c>
      <c r="Q15" s="128">
        <f t="shared" si="0"/>
        <v>10</v>
      </c>
      <c r="R15" s="128">
        <f t="shared" si="0"/>
        <v>11</v>
      </c>
      <c r="S15" s="128">
        <f t="shared" si="0"/>
        <v>12</v>
      </c>
      <c r="T15" s="128">
        <f t="shared" si="0"/>
        <v>13</v>
      </c>
      <c r="U15" s="128">
        <f t="shared" si="0"/>
        <v>14</v>
      </c>
      <c r="V15" s="128">
        <f t="shared" si="0"/>
        <v>15</v>
      </c>
      <c r="W15" s="128">
        <f t="shared" si="0"/>
        <v>16</v>
      </c>
      <c r="X15" s="128">
        <f t="shared" si="0"/>
        <v>17</v>
      </c>
      <c r="Y15" s="128">
        <f t="shared" si="0"/>
        <v>18</v>
      </c>
      <c r="Z15" s="128">
        <f t="shared" si="0"/>
        <v>19</v>
      </c>
      <c r="AA15" s="128">
        <f t="shared" si="0"/>
        <v>20</v>
      </c>
      <c r="AB15" s="128">
        <f t="shared" si="0"/>
        <v>21</v>
      </c>
      <c r="AC15" s="128">
        <f t="shared" si="0"/>
        <v>22</v>
      </c>
      <c r="AD15" s="128">
        <f t="shared" si="0"/>
        <v>23</v>
      </c>
      <c r="AE15" s="128">
        <f t="shared" si="0"/>
        <v>24</v>
      </c>
      <c r="AF15" s="128">
        <f t="shared" si="0"/>
        <v>25</v>
      </c>
      <c r="AG15" s="128">
        <f t="shared" si="0"/>
        <v>26</v>
      </c>
      <c r="AH15" s="128">
        <f t="shared" si="0"/>
        <v>27</v>
      </c>
      <c r="AI15" s="128">
        <f t="shared" si="0"/>
        <v>28</v>
      </c>
      <c r="AJ15" s="128">
        <f t="shared" si="0"/>
        <v>29</v>
      </c>
      <c r="AK15" s="128">
        <f t="shared" si="0"/>
        <v>30</v>
      </c>
      <c r="AL15" s="128">
        <f t="shared" si="0"/>
        <v>31</v>
      </c>
      <c r="AM15" s="128">
        <f t="shared" si="0"/>
        <v>32</v>
      </c>
      <c r="AN15" s="128">
        <f t="shared" si="0"/>
        <v>33</v>
      </c>
      <c r="AO15" s="128">
        <f t="shared" si="0"/>
        <v>34</v>
      </c>
      <c r="AP15" s="128">
        <f t="shared" si="0"/>
        <v>35</v>
      </c>
      <c r="AQ15" s="128">
        <f t="shared" si="0"/>
        <v>36</v>
      </c>
      <c r="AR15" s="128">
        <f t="shared" si="0"/>
        <v>37</v>
      </c>
      <c r="AS15" s="128">
        <f t="shared" si="0"/>
        <v>38</v>
      </c>
      <c r="AT15" s="128">
        <f t="shared" si="0"/>
        <v>39</v>
      </c>
      <c r="AU15" s="128">
        <f t="shared" si="0"/>
        <v>40</v>
      </c>
    </row>
    <row r="16" spans="2:47" x14ac:dyDescent="0.3">
      <c r="D16" s="70" t="s">
        <v>176</v>
      </c>
      <c r="E16" s="132" t="s">
        <v>41</v>
      </c>
      <c r="F16" s="139"/>
      <c r="G16" s="133">
        <f>IF(AND(G15&lt;='PV Products'!$J$3,G15&gt;0),1,0)</f>
        <v>0</v>
      </c>
      <c r="H16" s="133">
        <f>IF(AND(H15&lt;='PV Products'!$J$3,H15&gt;0),1,0)</f>
        <v>1</v>
      </c>
      <c r="I16" s="133">
        <f>IF(AND(I15&lt;='PV Products'!$J$3,I15&gt;0),1,0)</f>
        <v>1</v>
      </c>
      <c r="J16" s="133">
        <f>IF(AND(J15&lt;='PV Products'!$J$3,J15&gt;0),1,0)</f>
        <v>1</v>
      </c>
      <c r="K16" s="133">
        <f>IF(AND(K15&lt;='PV Products'!$J$3,K15&gt;0),1,0)</f>
        <v>1</v>
      </c>
      <c r="L16" s="133">
        <f>IF(AND(L15&lt;='PV Products'!$J$3,L15&gt;0),1,0)</f>
        <v>1</v>
      </c>
      <c r="M16" s="133">
        <f>IF(AND(M15&lt;='PV Products'!$J$3,M15&gt;0),1,0)</f>
        <v>1</v>
      </c>
      <c r="N16" s="133">
        <f>IF(AND(N15&lt;='PV Products'!$J$3,N15&gt;0),1,0)</f>
        <v>1</v>
      </c>
      <c r="O16" s="133">
        <f>IF(AND(O15&lt;='PV Products'!$J$3,O15&gt;0),1,0)</f>
        <v>1</v>
      </c>
      <c r="P16" s="133">
        <f>IF(AND(P15&lt;='PV Products'!$J$3,P15&gt;0),1,0)</f>
        <v>1</v>
      </c>
      <c r="Q16" s="133">
        <f>IF(AND(Q15&lt;='PV Products'!$J$3,Q15&gt;0),1,0)</f>
        <v>1</v>
      </c>
      <c r="R16" s="133">
        <f>IF(AND(R15&lt;='PV Products'!$J$3,R15&gt;0),1,0)</f>
        <v>1</v>
      </c>
      <c r="S16" s="133">
        <f>IF(AND(S15&lt;='PV Products'!$J$3,S15&gt;0),1,0)</f>
        <v>1</v>
      </c>
      <c r="T16" s="133">
        <f>IF(AND(T15&lt;='PV Products'!$J$3,T15&gt;0),1,0)</f>
        <v>1</v>
      </c>
      <c r="U16" s="133">
        <f>IF(AND(U15&lt;='PV Products'!$J$3,U15&gt;0),1,0)</f>
        <v>1</v>
      </c>
      <c r="V16" s="133">
        <f>IF(AND(V15&lt;='PV Products'!$J$3,V15&gt;0),1,0)</f>
        <v>1</v>
      </c>
      <c r="W16" s="133">
        <f>IF(AND(W15&lt;='PV Products'!$J$3,W15&gt;0),1,0)</f>
        <v>1</v>
      </c>
      <c r="X16" s="133">
        <f>IF(AND(X15&lt;='PV Products'!$J$3,X15&gt;0),1,0)</f>
        <v>1</v>
      </c>
      <c r="Y16" s="133">
        <f>IF(AND(Y15&lt;='PV Products'!$J$3,Y15&gt;0),1,0)</f>
        <v>1</v>
      </c>
      <c r="Z16" s="133">
        <f>IF(AND(Z15&lt;='PV Products'!$J$3,Z15&gt;0),1,0)</f>
        <v>1</v>
      </c>
      <c r="AA16" s="133">
        <f>IF(AND(AA15&lt;='PV Products'!$J$3,AA15&gt;0),1,0)</f>
        <v>1</v>
      </c>
      <c r="AB16" s="133">
        <f>IF(AND(AB15&lt;='PV Products'!$J$3,AB15&gt;0),1,0)</f>
        <v>1</v>
      </c>
      <c r="AC16" s="133">
        <f>IF(AND(AC15&lt;='PV Products'!$J$3,AC15&gt;0),1,0)</f>
        <v>1</v>
      </c>
      <c r="AD16" s="133">
        <f>IF(AND(AD15&lt;='PV Products'!$J$3,AD15&gt;0),1,0)</f>
        <v>1</v>
      </c>
      <c r="AE16" s="133">
        <f>IF(AND(AE15&lt;='PV Products'!$J$3,AE15&gt;0),1,0)</f>
        <v>1</v>
      </c>
      <c r="AF16" s="133">
        <f>IF(AND(AF15&lt;='PV Products'!$J$3,AF15&gt;0),1,0)</f>
        <v>1</v>
      </c>
      <c r="AG16" s="133">
        <f>IF(AND(AG15&lt;='PV Products'!$J$3,AG15&gt;0),1,0)</f>
        <v>0</v>
      </c>
      <c r="AH16" s="133">
        <f>IF(AND(AH15&lt;='PV Products'!$J$3,AH15&gt;0),1,0)</f>
        <v>0</v>
      </c>
      <c r="AI16" s="133">
        <f>IF(AND(AI15&lt;='PV Products'!$J$3,AI15&gt;0),1,0)</f>
        <v>0</v>
      </c>
      <c r="AJ16" s="133">
        <f>IF(AND(AJ15&lt;='PV Products'!$J$3,AJ15&gt;0),1,0)</f>
        <v>0</v>
      </c>
      <c r="AK16" s="133">
        <f>IF(AND(AK15&lt;='PV Products'!$J$3,AK15&gt;0),1,0)</f>
        <v>0</v>
      </c>
      <c r="AL16" s="133">
        <f>IF(AND(AL15&lt;='PV Products'!$J$3,AL15&gt;0),1,0)</f>
        <v>0</v>
      </c>
      <c r="AM16" s="133">
        <f>IF(AND(AM15&lt;='PV Products'!$J$3,AM15&gt;0),1,0)</f>
        <v>0</v>
      </c>
      <c r="AN16" s="133">
        <f>IF(AND(AN15&lt;='PV Products'!$J$3,AN15&gt;0),1,0)</f>
        <v>0</v>
      </c>
      <c r="AO16" s="133">
        <f>IF(AND(AO15&lt;='PV Products'!$J$3,AO15&gt;0),1,0)</f>
        <v>0</v>
      </c>
      <c r="AP16" s="133">
        <f>IF(AND(AP15&lt;='PV Products'!$J$3,AP15&gt;0),1,0)</f>
        <v>0</v>
      </c>
      <c r="AQ16" s="133">
        <f>IF(AND(AQ15&lt;='PV Products'!$J$3,AQ15&gt;0),1,0)</f>
        <v>0</v>
      </c>
      <c r="AR16" s="133">
        <f>IF(AND(AR15&lt;='PV Products'!$J$3,AR15&gt;0),1,0)</f>
        <v>0</v>
      </c>
      <c r="AS16" s="133">
        <f>IF(AND(AS15&lt;='PV Products'!$J$3,AS15&gt;0),1,0)</f>
        <v>0</v>
      </c>
      <c r="AT16" s="133">
        <f>IF(AND(AT15&lt;='PV Products'!$J$3,AT15&gt;0),1,0)</f>
        <v>0</v>
      </c>
      <c r="AU16" s="133">
        <f>IF(AND(AU15&lt;='PV Products'!$J$3,AU15&gt;0),1,0)</f>
        <v>0</v>
      </c>
    </row>
    <row r="17" spans="4:47" x14ac:dyDescent="0.3">
      <c r="E17" s="132" t="s">
        <v>42</v>
      </c>
      <c r="F17" s="139"/>
      <c r="G17" s="128">
        <v>0</v>
      </c>
      <c r="H17" s="295">
        <v>1.4E-2</v>
      </c>
      <c r="I17" s="295">
        <f>H17</f>
        <v>1.4E-2</v>
      </c>
      <c r="J17" s="134">
        <f t="shared" ref="J17:AU17" si="1">I17</f>
        <v>1.4E-2</v>
      </c>
      <c r="K17" s="134">
        <f t="shared" si="1"/>
        <v>1.4E-2</v>
      </c>
      <c r="L17" s="134">
        <f t="shared" si="1"/>
        <v>1.4E-2</v>
      </c>
      <c r="M17" s="134">
        <f t="shared" si="1"/>
        <v>1.4E-2</v>
      </c>
      <c r="N17" s="134">
        <f t="shared" si="1"/>
        <v>1.4E-2</v>
      </c>
      <c r="O17" s="134">
        <f t="shared" si="1"/>
        <v>1.4E-2</v>
      </c>
      <c r="P17" s="134">
        <f t="shared" si="1"/>
        <v>1.4E-2</v>
      </c>
      <c r="Q17" s="134">
        <f t="shared" si="1"/>
        <v>1.4E-2</v>
      </c>
      <c r="R17" s="134">
        <f t="shared" si="1"/>
        <v>1.4E-2</v>
      </c>
      <c r="S17" s="134">
        <f t="shared" si="1"/>
        <v>1.4E-2</v>
      </c>
      <c r="T17" s="134">
        <f t="shared" si="1"/>
        <v>1.4E-2</v>
      </c>
      <c r="U17" s="134">
        <f t="shared" si="1"/>
        <v>1.4E-2</v>
      </c>
      <c r="V17" s="134">
        <f t="shared" si="1"/>
        <v>1.4E-2</v>
      </c>
      <c r="W17" s="134">
        <f t="shared" si="1"/>
        <v>1.4E-2</v>
      </c>
      <c r="X17" s="134">
        <f t="shared" si="1"/>
        <v>1.4E-2</v>
      </c>
      <c r="Y17" s="134">
        <f t="shared" si="1"/>
        <v>1.4E-2</v>
      </c>
      <c r="Z17" s="134">
        <f t="shared" si="1"/>
        <v>1.4E-2</v>
      </c>
      <c r="AA17" s="134">
        <f t="shared" si="1"/>
        <v>1.4E-2</v>
      </c>
      <c r="AB17" s="134">
        <f t="shared" si="1"/>
        <v>1.4E-2</v>
      </c>
      <c r="AC17" s="134">
        <f t="shared" si="1"/>
        <v>1.4E-2</v>
      </c>
      <c r="AD17" s="134">
        <f t="shared" si="1"/>
        <v>1.4E-2</v>
      </c>
      <c r="AE17" s="134">
        <f t="shared" si="1"/>
        <v>1.4E-2</v>
      </c>
      <c r="AF17" s="134">
        <f t="shared" si="1"/>
        <v>1.4E-2</v>
      </c>
      <c r="AG17" s="134">
        <f t="shared" si="1"/>
        <v>1.4E-2</v>
      </c>
      <c r="AH17" s="134">
        <f t="shared" si="1"/>
        <v>1.4E-2</v>
      </c>
      <c r="AI17" s="134">
        <f t="shared" si="1"/>
        <v>1.4E-2</v>
      </c>
      <c r="AJ17" s="134">
        <f t="shared" si="1"/>
        <v>1.4E-2</v>
      </c>
      <c r="AK17" s="134">
        <f t="shared" si="1"/>
        <v>1.4E-2</v>
      </c>
      <c r="AL17" s="134">
        <f t="shared" si="1"/>
        <v>1.4E-2</v>
      </c>
      <c r="AM17" s="134">
        <f t="shared" si="1"/>
        <v>1.4E-2</v>
      </c>
      <c r="AN17" s="134">
        <f t="shared" si="1"/>
        <v>1.4E-2</v>
      </c>
      <c r="AO17" s="134">
        <f t="shared" si="1"/>
        <v>1.4E-2</v>
      </c>
      <c r="AP17" s="134">
        <f t="shared" si="1"/>
        <v>1.4E-2</v>
      </c>
      <c r="AQ17" s="134">
        <f t="shared" si="1"/>
        <v>1.4E-2</v>
      </c>
      <c r="AR17" s="134">
        <f t="shared" si="1"/>
        <v>1.4E-2</v>
      </c>
      <c r="AS17" s="134">
        <f t="shared" si="1"/>
        <v>1.4E-2</v>
      </c>
      <c r="AT17" s="134">
        <f t="shared" si="1"/>
        <v>1.4E-2</v>
      </c>
      <c r="AU17" s="134">
        <f t="shared" si="1"/>
        <v>1.4E-2</v>
      </c>
    </row>
    <row r="18" spans="4:47" ht="4.2" customHeight="1" x14ac:dyDescent="0.3">
      <c r="E18" s="150"/>
      <c r="F18" s="151"/>
      <c r="G18" s="150"/>
      <c r="H18" s="150"/>
      <c r="I18" s="150"/>
      <c r="J18" s="150"/>
      <c r="K18" s="150"/>
      <c r="L18" s="150"/>
      <c r="M18" s="150"/>
      <c r="N18" s="150"/>
      <c r="O18" s="150"/>
      <c r="P18" s="150"/>
      <c r="Q18" s="150"/>
      <c r="R18" s="150"/>
      <c r="S18" s="150"/>
      <c r="T18" s="150"/>
      <c r="U18" s="150"/>
      <c r="V18" s="150"/>
      <c r="W18" s="150"/>
      <c r="X18" s="150"/>
      <c r="Y18" s="150"/>
      <c r="Z18" s="150"/>
      <c r="AA18" s="150"/>
      <c r="AB18" s="150"/>
      <c r="AC18" s="150"/>
      <c r="AD18" s="150"/>
      <c r="AE18" s="150"/>
      <c r="AF18" s="150"/>
      <c r="AG18" s="150"/>
      <c r="AH18" s="150"/>
      <c r="AI18" s="150"/>
      <c r="AJ18" s="150"/>
      <c r="AK18" s="150"/>
      <c r="AL18" s="150"/>
      <c r="AM18" s="150"/>
      <c r="AN18" s="150"/>
      <c r="AO18" s="150"/>
      <c r="AP18" s="150"/>
      <c r="AQ18" s="150"/>
      <c r="AR18" s="150"/>
      <c r="AS18" s="150"/>
      <c r="AT18" s="150"/>
      <c r="AU18" s="150"/>
    </row>
    <row r="19" spans="4:47" x14ac:dyDescent="0.3">
      <c r="E19" s="131" t="s">
        <v>43</v>
      </c>
      <c r="F19" s="139"/>
    </row>
    <row r="20" spans="4:47" ht="2.7" customHeight="1" x14ac:dyDescent="0.3">
      <c r="E20" s="131"/>
      <c r="F20" s="139"/>
    </row>
    <row r="21" spans="4:47" x14ac:dyDescent="0.3">
      <c r="D21" s="70" t="s">
        <v>180</v>
      </c>
      <c r="E21" s="132" t="s">
        <v>395</v>
      </c>
      <c r="F21" s="139" t="s">
        <v>107</v>
      </c>
      <c r="G21" s="328">
        <f>'PV Products'!D3*'PV Products'!E3*'1. Site details'!D3</f>
        <v>3153000</v>
      </c>
      <c r="H21" s="136"/>
      <c r="I21" s="136"/>
      <c r="J21" s="136"/>
      <c r="K21" s="136"/>
      <c r="L21" s="136"/>
      <c r="M21" s="136"/>
      <c r="N21" s="136"/>
      <c r="O21" s="136"/>
      <c r="P21" s="136"/>
      <c r="Q21" s="136"/>
      <c r="R21" s="136"/>
      <c r="S21" s="136"/>
      <c r="T21" s="136"/>
      <c r="U21" s="136"/>
      <c r="V21" s="136"/>
      <c r="W21" s="136"/>
      <c r="X21" s="136"/>
      <c r="Y21" s="136"/>
      <c r="Z21" s="136"/>
      <c r="AA21" s="136"/>
      <c r="AB21" s="136"/>
      <c r="AC21" s="136"/>
      <c r="AD21" s="136"/>
      <c r="AE21" s="136"/>
      <c r="AF21" s="136"/>
      <c r="AG21" s="136"/>
      <c r="AH21" s="136"/>
      <c r="AI21" s="136"/>
      <c r="AJ21" s="136"/>
      <c r="AK21" s="136"/>
      <c r="AL21" s="136"/>
      <c r="AM21" s="136"/>
      <c r="AN21" s="136"/>
      <c r="AO21" s="136"/>
      <c r="AP21" s="136"/>
      <c r="AQ21" s="136"/>
      <c r="AR21" s="136"/>
      <c r="AS21" s="136"/>
      <c r="AT21" s="136"/>
      <c r="AU21" s="136"/>
    </row>
    <row r="22" spans="4:47" x14ac:dyDescent="0.3">
      <c r="E22" s="132" t="s">
        <v>44</v>
      </c>
      <c r="F22" s="139" t="s">
        <v>108</v>
      </c>
      <c r="G22" s="137">
        <v>5.0000000000000001E-3</v>
      </c>
      <c r="H22" s="138">
        <v>1</v>
      </c>
      <c r="I22" s="138">
        <f>H22*(1-$G$22)</f>
        <v>0.995</v>
      </c>
      <c r="J22" s="138">
        <f t="shared" ref="J22:AU22" si="2">I22*(1-$G$22)</f>
        <v>0.99002500000000004</v>
      </c>
      <c r="K22" s="138">
        <f t="shared" si="2"/>
        <v>0.98507487500000002</v>
      </c>
      <c r="L22" s="138">
        <f t="shared" si="2"/>
        <v>0.98014950062500006</v>
      </c>
      <c r="M22" s="138">
        <f t="shared" si="2"/>
        <v>0.97524875312187509</v>
      </c>
      <c r="N22" s="138">
        <f t="shared" si="2"/>
        <v>0.97037250935626573</v>
      </c>
      <c r="O22" s="138">
        <f t="shared" si="2"/>
        <v>0.96552064680948435</v>
      </c>
      <c r="P22" s="138">
        <f t="shared" si="2"/>
        <v>0.96069304357543694</v>
      </c>
      <c r="Q22" s="138">
        <f t="shared" si="2"/>
        <v>0.95588957835755972</v>
      </c>
      <c r="R22" s="138">
        <f t="shared" si="2"/>
        <v>0.95111013046577186</v>
      </c>
      <c r="S22" s="138">
        <f t="shared" si="2"/>
        <v>0.94635457981344295</v>
      </c>
      <c r="T22" s="138">
        <f t="shared" si="2"/>
        <v>0.94162280691437572</v>
      </c>
      <c r="U22" s="138">
        <f t="shared" si="2"/>
        <v>0.93691469287980389</v>
      </c>
      <c r="V22" s="138">
        <f t="shared" si="2"/>
        <v>0.9322301194154049</v>
      </c>
      <c r="W22" s="138">
        <f t="shared" si="2"/>
        <v>0.92756896881832784</v>
      </c>
      <c r="X22" s="138">
        <f t="shared" si="2"/>
        <v>0.92293112397423616</v>
      </c>
      <c r="Y22" s="138">
        <f t="shared" si="2"/>
        <v>0.91831646835436498</v>
      </c>
      <c r="Z22" s="138">
        <f t="shared" si="2"/>
        <v>0.91372488601259316</v>
      </c>
      <c r="AA22" s="138">
        <f t="shared" si="2"/>
        <v>0.90915626158253016</v>
      </c>
      <c r="AB22" s="138">
        <f t="shared" si="2"/>
        <v>0.90461048027461755</v>
      </c>
      <c r="AC22" s="138">
        <f t="shared" si="2"/>
        <v>0.90008742787324447</v>
      </c>
      <c r="AD22" s="138">
        <f t="shared" si="2"/>
        <v>0.89558699073387826</v>
      </c>
      <c r="AE22" s="138">
        <f t="shared" si="2"/>
        <v>0.89110905578020883</v>
      </c>
      <c r="AF22" s="138">
        <f t="shared" si="2"/>
        <v>0.88665351050130781</v>
      </c>
      <c r="AG22" s="138">
        <f t="shared" si="2"/>
        <v>0.8822202429488013</v>
      </c>
      <c r="AH22" s="138">
        <f t="shared" si="2"/>
        <v>0.87780914173405733</v>
      </c>
      <c r="AI22" s="138">
        <f t="shared" si="2"/>
        <v>0.87342009602538706</v>
      </c>
      <c r="AJ22" s="138">
        <f t="shared" si="2"/>
        <v>0.86905299554526017</v>
      </c>
      <c r="AK22" s="138">
        <f t="shared" si="2"/>
        <v>0.86470773056753381</v>
      </c>
      <c r="AL22" s="138">
        <f t="shared" si="2"/>
        <v>0.86038419191469617</v>
      </c>
      <c r="AM22" s="138">
        <f t="shared" si="2"/>
        <v>0.85608227095512268</v>
      </c>
      <c r="AN22" s="138">
        <f t="shared" si="2"/>
        <v>0.85180185960034704</v>
      </c>
      <c r="AO22" s="138">
        <f t="shared" si="2"/>
        <v>0.84754285030234533</v>
      </c>
      <c r="AP22" s="138">
        <f t="shared" si="2"/>
        <v>0.84330513605083357</v>
      </c>
      <c r="AQ22" s="138">
        <f t="shared" si="2"/>
        <v>0.83908861037057936</v>
      </c>
      <c r="AR22" s="138">
        <f t="shared" si="2"/>
        <v>0.83489316731872643</v>
      </c>
      <c r="AS22" s="138">
        <f t="shared" si="2"/>
        <v>0.83071870148213278</v>
      </c>
      <c r="AT22" s="138">
        <f t="shared" si="2"/>
        <v>0.82656510797472216</v>
      </c>
      <c r="AU22" s="138">
        <f t="shared" si="2"/>
        <v>0.82243228243484856</v>
      </c>
    </row>
    <row r="23" spans="4:47" x14ac:dyDescent="0.3">
      <c r="E23" s="132" t="s">
        <v>45</v>
      </c>
      <c r="F23" s="139" t="s">
        <v>109</v>
      </c>
      <c r="G23" s="139"/>
      <c r="H23" s="136">
        <f t="shared" ref="H23:AU23" si="3">$G$21*H22*H16</f>
        <v>3153000</v>
      </c>
      <c r="I23" s="136">
        <f t="shared" si="3"/>
        <v>3137235</v>
      </c>
      <c r="J23" s="136">
        <f t="shared" si="3"/>
        <v>3121548.8250000002</v>
      </c>
      <c r="K23" s="136">
        <f t="shared" si="3"/>
        <v>3105941.080875</v>
      </c>
      <c r="L23" s="136">
        <f t="shared" si="3"/>
        <v>3090411.3754706252</v>
      </c>
      <c r="M23" s="136">
        <f t="shared" si="3"/>
        <v>3074959.318593272</v>
      </c>
      <c r="N23" s="136">
        <f t="shared" si="3"/>
        <v>3059584.5220003058</v>
      </c>
      <c r="O23" s="136">
        <f t="shared" si="3"/>
        <v>3044286.5993903042</v>
      </c>
      <c r="P23" s="136">
        <f t="shared" si="3"/>
        <v>3029065.1663933527</v>
      </c>
      <c r="Q23" s="136">
        <f t="shared" si="3"/>
        <v>3013919.8405613857</v>
      </c>
      <c r="R23" s="136">
        <f t="shared" si="3"/>
        <v>2998850.2413585787</v>
      </c>
      <c r="S23" s="136">
        <f t="shared" si="3"/>
        <v>2983855.9901517858</v>
      </c>
      <c r="T23" s="136">
        <f t="shared" si="3"/>
        <v>2968936.7102010269</v>
      </c>
      <c r="U23" s="136">
        <f t="shared" si="3"/>
        <v>2954092.0266500218</v>
      </c>
      <c r="V23" s="136">
        <f t="shared" si="3"/>
        <v>2939321.5665167714</v>
      </c>
      <c r="W23" s="136">
        <f t="shared" si="3"/>
        <v>2924624.9586841878</v>
      </c>
      <c r="X23" s="136">
        <f t="shared" si="3"/>
        <v>2910001.8338907664</v>
      </c>
      <c r="Y23" s="136">
        <f t="shared" si="3"/>
        <v>2895451.8247213126</v>
      </c>
      <c r="Z23" s="136">
        <f t="shared" si="3"/>
        <v>2880974.5655977065</v>
      </c>
      <c r="AA23" s="136">
        <f t="shared" si="3"/>
        <v>2866569.6927697174</v>
      </c>
      <c r="AB23" s="136">
        <f t="shared" si="3"/>
        <v>2852236.8443058692</v>
      </c>
      <c r="AC23" s="136">
        <f t="shared" si="3"/>
        <v>2837975.6600843398</v>
      </c>
      <c r="AD23" s="136">
        <f t="shared" si="3"/>
        <v>2823785.7817839184</v>
      </c>
      <c r="AE23" s="136">
        <f t="shared" si="3"/>
        <v>2809666.8528749985</v>
      </c>
      <c r="AF23" s="136">
        <f t="shared" si="3"/>
        <v>2795618.5186106237</v>
      </c>
      <c r="AG23" s="136">
        <f t="shared" si="3"/>
        <v>0</v>
      </c>
      <c r="AH23" s="136">
        <f t="shared" si="3"/>
        <v>0</v>
      </c>
      <c r="AI23" s="136">
        <f t="shared" si="3"/>
        <v>0</v>
      </c>
      <c r="AJ23" s="136">
        <f t="shared" si="3"/>
        <v>0</v>
      </c>
      <c r="AK23" s="136">
        <f t="shared" si="3"/>
        <v>0</v>
      </c>
      <c r="AL23" s="136">
        <f t="shared" si="3"/>
        <v>0</v>
      </c>
      <c r="AM23" s="136">
        <f t="shared" si="3"/>
        <v>0</v>
      </c>
      <c r="AN23" s="136">
        <f t="shared" si="3"/>
        <v>0</v>
      </c>
      <c r="AO23" s="136">
        <f t="shared" si="3"/>
        <v>0</v>
      </c>
      <c r="AP23" s="136">
        <f t="shared" si="3"/>
        <v>0</v>
      </c>
      <c r="AQ23" s="136">
        <f t="shared" si="3"/>
        <v>0</v>
      </c>
      <c r="AR23" s="136">
        <f t="shared" si="3"/>
        <v>0</v>
      </c>
      <c r="AS23" s="136">
        <f t="shared" si="3"/>
        <v>0</v>
      </c>
      <c r="AT23" s="136">
        <f t="shared" si="3"/>
        <v>0</v>
      </c>
      <c r="AU23" s="136">
        <f t="shared" si="3"/>
        <v>0</v>
      </c>
    </row>
    <row r="24" spans="4:47" s="12" customFormat="1" x14ac:dyDescent="0.3">
      <c r="D24" s="332"/>
      <c r="E24" s="336" t="s">
        <v>386</v>
      </c>
      <c r="F24" s="177" t="s">
        <v>109</v>
      </c>
      <c r="G24" s="337">
        <f>D4</f>
        <v>0.8</v>
      </c>
      <c r="H24" s="334">
        <f>IF(H15&lt;=$G$2,$D$4*H23,H23)</f>
        <v>2522400</v>
      </c>
      <c r="I24" s="334">
        <f t="shared" ref="I24:AU24" si="4">IF(I15&lt;=$G$2,$D$4*I23,I23)</f>
        <v>2509788</v>
      </c>
      <c r="J24" s="334">
        <f t="shared" si="4"/>
        <v>2497239.06</v>
      </c>
      <c r="K24" s="334">
        <f t="shared" si="4"/>
        <v>2484752.8647000003</v>
      </c>
      <c r="L24" s="334">
        <f t="shared" si="4"/>
        <v>2472329.1003765003</v>
      </c>
      <c r="M24" s="334">
        <f t="shared" si="4"/>
        <v>2459967.4548746175</v>
      </c>
      <c r="N24" s="334">
        <f t="shared" si="4"/>
        <v>2447667.6176002449</v>
      </c>
      <c r="O24" s="334">
        <f t="shared" si="4"/>
        <v>2435429.2795122433</v>
      </c>
      <c r="P24" s="334">
        <f t="shared" si="4"/>
        <v>2423252.133114682</v>
      </c>
      <c r="Q24" s="334">
        <f t="shared" si="4"/>
        <v>2411135.8724491089</v>
      </c>
      <c r="R24" s="334">
        <f t="shared" si="4"/>
        <v>2399080.193086863</v>
      </c>
      <c r="S24" s="334">
        <f t="shared" si="4"/>
        <v>2387084.7921214285</v>
      </c>
      <c r="T24" s="334">
        <f t="shared" si="4"/>
        <v>2375149.3681608215</v>
      </c>
      <c r="U24" s="334">
        <f t="shared" si="4"/>
        <v>2363273.6213200176</v>
      </c>
      <c r="V24" s="334">
        <f t="shared" si="4"/>
        <v>2351457.2532134173</v>
      </c>
      <c r="W24" s="334">
        <f t="shared" si="4"/>
        <v>2339699.9669473502</v>
      </c>
      <c r="X24" s="334">
        <f t="shared" si="4"/>
        <v>2328001.4671126134</v>
      </c>
      <c r="Y24" s="334">
        <f t="shared" si="4"/>
        <v>2316361.4597770502</v>
      </c>
      <c r="Z24" s="334">
        <f t="shared" si="4"/>
        <v>2304779.6524781655</v>
      </c>
      <c r="AA24" s="334">
        <f t="shared" si="4"/>
        <v>2293255.7542157741</v>
      </c>
      <c r="AB24" s="334">
        <f t="shared" si="4"/>
        <v>2281789.4754446954</v>
      </c>
      <c r="AC24" s="334">
        <f t="shared" si="4"/>
        <v>2270380.5280674719</v>
      </c>
      <c r="AD24" s="334">
        <f t="shared" si="4"/>
        <v>2259028.6254271348</v>
      </c>
      <c r="AE24" s="334">
        <f t="shared" si="4"/>
        <v>2247733.4822999989</v>
      </c>
      <c r="AF24" s="334">
        <f t="shared" si="4"/>
        <v>2795618.5186106237</v>
      </c>
      <c r="AG24" s="334">
        <f t="shared" si="4"/>
        <v>0</v>
      </c>
      <c r="AH24" s="334">
        <f t="shared" si="4"/>
        <v>0</v>
      </c>
      <c r="AI24" s="334">
        <f t="shared" si="4"/>
        <v>0</v>
      </c>
      <c r="AJ24" s="334">
        <f t="shared" si="4"/>
        <v>0</v>
      </c>
      <c r="AK24" s="334">
        <f t="shared" si="4"/>
        <v>0</v>
      </c>
      <c r="AL24" s="334">
        <f t="shared" si="4"/>
        <v>0</v>
      </c>
      <c r="AM24" s="334">
        <f t="shared" si="4"/>
        <v>0</v>
      </c>
      <c r="AN24" s="334">
        <f t="shared" si="4"/>
        <v>0</v>
      </c>
      <c r="AO24" s="334">
        <f t="shared" si="4"/>
        <v>0</v>
      </c>
      <c r="AP24" s="334">
        <f t="shared" si="4"/>
        <v>0</v>
      </c>
      <c r="AQ24" s="334">
        <f t="shared" si="4"/>
        <v>0</v>
      </c>
      <c r="AR24" s="334">
        <f t="shared" si="4"/>
        <v>0</v>
      </c>
      <c r="AS24" s="334">
        <f t="shared" si="4"/>
        <v>0</v>
      </c>
      <c r="AT24" s="334">
        <f t="shared" si="4"/>
        <v>0</v>
      </c>
      <c r="AU24" s="334">
        <f t="shared" si="4"/>
        <v>0</v>
      </c>
    </row>
    <row r="25" spans="4:47" x14ac:dyDescent="0.3">
      <c r="D25" s="70"/>
      <c r="E25" s="132" t="s">
        <v>387</v>
      </c>
      <c r="F25" s="139" t="s">
        <v>109</v>
      </c>
      <c r="G25" s="327">
        <f>1-G24</f>
        <v>0.19999999999999996</v>
      </c>
      <c r="H25" s="136">
        <f t="shared" ref="H25:AU25" si="5">H23-H24</f>
        <v>630600</v>
      </c>
      <c r="I25" s="136">
        <f t="shared" si="5"/>
        <v>627447</v>
      </c>
      <c r="J25" s="136">
        <f t="shared" si="5"/>
        <v>624309.76500000013</v>
      </c>
      <c r="K25" s="136">
        <f t="shared" si="5"/>
        <v>621188.21617499972</v>
      </c>
      <c r="L25" s="136">
        <f t="shared" si="5"/>
        <v>618082.27509412495</v>
      </c>
      <c r="M25" s="136">
        <f t="shared" si="5"/>
        <v>614991.86371865449</v>
      </c>
      <c r="N25" s="136">
        <f t="shared" si="5"/>
        <v>611916.90440006088</v>
      </c>
      <c r="O25" s="136">
        <f t="shared" si="5"/>
        <v>608857.31987806084</v>
      </c>
      <c r="P25" s="136">
        <f t="shared" si="5"/>
        <v>605813.03327867063</v>
      </c>
      <c r="Q25" s="136">
        <f t="shared" si="5"/>
        <v>602783.96811227687</v>
      </c>
      <c r="R25" s="136">
        <f t="shared" si="5"/>
        <v>599770.04827171564</v>
      </c>
      <c r="S25" s="136">
        <f t="shared" si="5"/>
        <v>596771.19803035725</v>
      </c>
      <c r="T25" s="136">
        <f t="shared" si="5"/>
        <v>593787.34204020537</v>
      </c>
      <c r="U25" s="136">
        <f t="shared" si="5"/>
        <v>590818.40533000417</v>
      </c>
      <c r="V25" s="136">
        <f t="shared" si="5"/>
        <v>587864.3133033542</v>
      </c>
      <c r="W25" s="136">
        <f t="shared" si="5"/>
        <v>584924.99173683766</v>
      </c>
      <c r="X25" s="136">
        <f t="shared" si="5"/>
        <v>582000.36677815299</v>
      </c>
      <c r="Y25" s="136">
        <f t="shared" si="5"/>
        <v>579090.36494426243</v>
      </c>
      <c r="Z25" s="136">
        <f t="shared" si="5"/>
        <v>576194.91311954102</v>
      </c>
      <c r="AA25" s="136">
        <f t="shared" si="5"/>
        <v>573313.9385539433</v>
      </c>
      <c r="AB25" s="136">
        <f t="shared" si="5"/>
        <v>570447.36886117375</v>
      </c>
      <c r="AC25" s="136">
        <f t="shared" si="5"/>
        <v>567595.13201686786</v>
      </c>
      <c r="AD25" s="136">
        <f t="shared" si="5"/>
        <v>564757.15635678358</v>
      </c>
      <c r="AE25" s="136">
        <f t="shared" si="5"/>
        <v>561933.3705749996</v>
      </c>
      <c r="AF25" s="136">
        <f t="shared" si="5"/>
        <v>0</v>
      </c>
      <c r="AG25" s="136">
        <f t="shared" si="5"/>
        <v>0</v>
      </c>
      <c r="AH25" s="136">
        <f t="shared" si="5"/>
        <v>0</v>
      </c>
      <c r="AI25" s="136">
        <f t="shared" si="5"/>
        <v>0</v>
      </c>
      <c r="AJ25" s="136">
        <f t="shared" si="5"/>
        <v>0</v>
      </c>
      <c r="AK25" s="136">
        <f t="shared" si="5"/>
        <v>0</v>
      </c>
      <c r="AL25" s="136">
        <f t="shared" si="5"/>
        <v>0</v>
      </c>
      <c r="AM25" s="136">
        <f t="shared" si="5"/>
        <v>0</v>
      </c>
      <c r="AN25" s="136">
        <f t="shared" si="5"/>
        <v>0</v>
      </c>
      <c r="AO25" s="136">
        <f t="shared" si="5"/>
        <v>0</v>
      </c>
      <c r="AP25" s="136">
        <f t="shared" si="5"/>
        <v>0</v>
      </c>
      <c r="AQ25" s="136">
        <f t="shared" si="5"/>
        <v>0</v>
      </c>
      <c r="AR25" s="136">
        <f t="shared" si="5"/>
        <v>0</v>
      </c>
      <c r="AS25" s="136">
        <f t="shared" si="5"/>
        <v>0</v>
      </c>
      <c r="AT25" s="136">
        <f t="shared" si="5"/>
        <v>0</v>
      </c>
      <c r="AU25" s="136">
        <f t="shared" si="5"/>
        <v>0</v>
      </c>
    </row>
    <row r="26" spans="4:47" x14ac:dyDescent="0.3">
      <c r="D26" s="70" t="s">
        <v>110</v>
      </c>
      <c r="E26" s="132" t="s">
        <v>46</v>
      </c>
      <c r="F26" s="139" t="s">
        <v>109</v>
      </c>
      <c r="G26" s="140">
        <f>'1. Site details'!D8</f>
        <v>0.5</v>
      </c>
      <c r="H26" s="136">
        <f t="shared" ref="H26:AU26" si="6">H23*$G$26</f>
        <v>1576500</v>
      </c>
      <c r="I26" s="136">
        <f t="shared" si="6"/>
        <v>1568617.5</v>
      </c>
      <c r="J26" s="136">
        <f t="shared" si="6"/>
        <v>1560774.4125000001</v>
      </c>
      <c r="K26" s="136">
        <f t="shared" si="6"/>
        <v>1552970.5404375</v>
      </c>
      <c r="L26" s="136">
        <f t="shared" si="6"/>
        <v>1545205.6877353126</v>
      </c>
      <c r="M26" s="136">
        <f t="shared" si="6"/>
        <v>1537479.659296636</v>
      </c>
      <c r="N26" s="136">
        <f t="shared" si="6"/>
        <v>1529792.2610001529</v>
      </c>
      <c r="O26" s="136">
        <f t="shared" si="6"/>
        <v>1522143.2996951521</v>
      </c>
      <c r="P26" s="136">
        <f t="shared" si="6"/>
        <v>1514532.5831966763</v>
      </c>
      <c r="Q26" s="136">
        <f t="shared" si="6"/>
        <v>1506959.9202806929</v>
      </c>
      <c r="R26" s="136">
        <f t="shared" si="6"/>
        <v>1499425.1206792893</v>
      </c>
      <c r="S26" s="136">
        <f t="shared" si="6"/>
        <v>1491927.9950758929</v>
      </c>
      <c r="T26" s="136">
        <f t="shared" si="6"/>
        <v>1484468.3551005134</v>
      </c>
      <c r="U26" s="136">
        <f t="shared" si="6"/>
        <v>1477046.0133250109</v>
      </c>
      <c r="V26" s="136">
        <f t="shared" si="6"/>
        <v>1469660.7832583857</v>
      </c>
      <c r="W26" s="136">
        <f t="shared" si="6"/>
        <v>1462312.4793420939</v>
      </c>
      <c r="X26" s="136">
        <f t="shared" si="6"/>
        <v>1455000.9169453832</v>
      </c>
      <c r="Y26" s="136">
        <f t="shared" si="6"/>
        <v>1447725.9123606563</v>
      </c>
      <c r="Z26" s="136">
        <f t="shared" si="6"/>
        <v>1440487.2827988532</v>
      </c>
      <c r="AA26" s="136">
        <f t="shared" si="6"/>
        <v>1433284.8463848587</v>
      </c>
      <c r="AB26" s="136">
        <f t="shared" si="6"/>
        <v>1426118.4221529346</v>
      </c>
      <c r="AC26" s="136">
        <f t="shared" si="6"/>
        <v>1418987.8300421699</v>
      </c>
      <c r="AD26" s="136">
        <f t="shared" si="6"/>
        <v>1411892.8908919592</v>
      </c>
      <c r="AE26" s="136">
        <f t="shared" si="6"/>
        <v>1404833.4264374992</v>
      </c>
      <c r="AF26" s="136">
        <f t="shared" si="6"/>
        <v>1397809.2593053118</v>
      </c>
      <c r="AG26" s="136">
        <f t="shared" si="6"/>
        <v>0</v>
      </c>
      <c r="AH26" s="136">
        <f t="shared" si="6"/>
        <v>0</v>
      </c>
      <c r="AI26" s="136">
        <f t="shared" si="6"/>
        <v>0</v>
      </c>
      <c r="AJ26" s="136">
        <f t="shared" si="6"/>
        <v>0</v>
      </c>
      <c r="AK26" s="136">
        <f t="shared" si="6"/>
        <v>0</v>
      </c>
      <c r="AL26" s="136">
        <f t="shared" si="6"/>
        <v>0</v>
      </c>
      <c r="AM26" s="136">
        <f t="shared" si="6"/>
        <v>0</v>
      </c>
      <c r="AN26" s="136">
        <f t="shared" si="6"/>
        <v>0</v>
      </c>
      <c r="AO26" s="136">
        <f t="shared" si="6"/>
        <v>0</v>
      </c>
      <c r="AP26" s="136">
        <f t="shared" si="6"/>
        <v>0</v>
      </c>
      <c r="AQ26" s="136">
        <f t="shared" si="6"/>
        <v>0</v>
      </c>
      <c r="AR26" s="136">
        <f t="shared" si="6"/>
        <v>0</v>
      </c>
      <c r="AS26" s="136">
        <f t="shared" si="6"/>
        <v>0</v>
      </c>
      <c r="AT26" s="136">
        <f t="shared" si="6"/>
        <v>0</v>
      </c>
      <c r="AU26" s="136">
        <f t="shared" si="6"/>
        <v>0</v>
      </c>
    </row>
    <row r="27" spans="4:47" x14ac:dyDescent="0.3">
      <c r="D27" s="70" t="s">
        <v>110</v>
      </c>
      <c r="E27" s="132" t="s">
        <v>47</v>
      </c>
      <c r="F27" s="139" t="s">
        <v>109</v>
      </c>
      <c r="G27" s="140">
        <v>1</v>
      </c>
      <c r="H27" s="136">
        <f t="shared" ref="H27:AU27" si="7">(H23-H26)*$G$27</f>
        <v>1576500</v>
      </c>
      <c r="I27" s="136">
        <f t="shared" si="7"/>
        <v>1568617.5</v>
      </c>
      <c r="J27" s="136">
        <f t="shared" si="7"/>
        <v>1560774.4125000001</v>
      </c>
      <c r="K27" s="136">
        <f t="shared" si="7"/>
        <v>1552970.5404375</v>
      </c>
      <c r="L27" s="136">
        <f t="shared" si="7"/>
        <v>1545205.6877353126</v>
      </c>
      <c r="M27" s="136">
        <f t="shared" si="7"/>
        <v>1537479.659296636</v>
      </c>
      <c r="N27" s="136">
        <f t="shared" si="7"/>
        <v>1529792.2610001529</v>
      </c>
      <c r="O27" s="136">
        <f t="shared" si="7"/>
        <v>1522143.2996951521</v>
      </c>
      <c r="P27" s="136">
        <f t="shared" si="7"/>
        <v>1514532.5831966763</v>
      </c>
      <c r="Q27" s="136">
        <f t="shared" si="7"/>
        <v>1506959.9202806929</v>
      </c>
      <c r="R27" s="136">
        <f t="shared" si="7"/>
        <v>1499425.1206792893</v>
      </c>
      <c r="S27" s="136">
        <f t="shared" si="7"/>
        <v>1491927.9950758929</v>
      </c>
      <c r="T27" s="136">
        <f t="shared" si="7"/>
        <v>1484468.3551005134</v>
      </c>
      <c r="U27" s="136">
        <f t="shared" si="7"/>
        <v>1477046.0133250109</v>
      </c>
      <c r="V27" s="136">
        <f t="shared" si="7"/>
        <v>1469660.7832583857</v>
      </c>
      <c r="W27" s="136">
        <f t="shared" si="7"/>
        <v>1462312.4793420939</v>
      </c>
      <c r="X27" s="136">
        <f t="shared" si="7"/>
        <v>1455000.9169453832</v>
      </c>
      <c r="Y27" s="136">
        <f t="shared" si="7"/>
        <v>1447725.9123606563</v>
      </c>
      <c r="Z27" s="136">
        <f t="shared" si="7"/>
        <v>1440487.2827988532</v>
      </c>
      <c r="AA27" s="136">
        <f t="shared" si="7"/>
        <v>1433284.8463848587</v>
      </c>
      <c r="AB27" s="136">
        <f t="shared" si="7"/>
        <v>1426118.4221529346</v>
      </c>
      <c r="AC27" s="136">
        <f t="shared" si="7"/>
        <v>1418987.8300421699</v>
      </c>
      <c r="AD27" s="136">
        <f t="shared" si="7"/>
        <v>1411892.8908919592</v>
      </c>
      <c r="AE27" s="136">
        <f t="shared" si="7"/>
        <v>1404833.4264374992</v>
      </c>
      <c r="AF27" s="136">
        <f t="shared" si="7"/>
        <v>1397809.2593053118</v>
      </c>
      <c r="AG27" s="136">
        <f t="shared" si="7"/>
        <v>0</v>
      </c>
      <c r="AH27" s="136">
        <f t="shared" si="7"/>
        <v>0</v>
      </c>
      <c r="AI27" s="136">
        <f t="shared" si="7"/>
        <v>0</v>
      </c>
      <c r="AJ27" s="136">
        <f t="shared" si="7"/>
        <v>0</v>
      </c>
      <c r="AK27" s="136">
        <f t="shared" si="7"/>
        <v>0</v>
      </c>
      <c r="AL27" s="136">
        <f t="shared" si="7"/>
        <v>0</v>
      </c>
      <c r="AM27" s="136">
        <f t="shared" si="7"/>
        <v>0</v>
      </c>
      <c r="AN27" s="136">
        <f t="shared" si="7"/>
        <v>0</v>
      </c>
      <c r="AO27" s="136">
        <f t="shared" si="7"/>
        <v>0</v>
      </c>
      <c r="AP27" s="136">
        <f t="shared" si="7"/>
        <v>0</v>
      </c>
      <c r="AQ27" s="136">
        <f t="shared" si="7"/>
        <v>0</v>
      </c>
      <c r="AR27" s="136">
        <f t="shared" si="7"/>
        <v>0</v>
      </c>
      <c r="AS27" s="136">
        <f t="shared" si="7"/>
        <v>0</v>
      </c>
      <c r="AT27" s="136">
        <f t="shared" si="7"/>
        <v>0</v>
      </c>
      <c r="AU27" s="136">
        <f t="shared" si="7"/>
        <v>0</v>
      </c>
    </row>
    <row r="28" spans="4:47" x14ac:dyDescent="0.3">
      <c r="D28" s="70" t="s">
        <v>110</v>
      </c>
      <c r="E28" s="132" t="s">
        <v>50</v>
      </c>
      <c r="F28" s="139" t="s">
        <v>109</v>
      </c>
      <c r="G28" s="328">
        <f>'1. Site details'!D5</f>
        <v>4153000</v>
      </c>
      <c r="H28" s="136">
        <f t="shared" ref="H28:AU28" si="8">$G$28*H16</f>
        <v>4153000</v>
      </c>
      <c r="I28" s="136">
        <f t="shared" si="8"/>
        <v>4153000</v>
      </c>
      <c r="J28" s="136">
        <f t="shared" si="8"/>
        <v>4153000</v>
      </c>
      <c r="K28" s="136">
        <f t="shared" si="8"/>
        <v>4153000</v>
      </c>
      <c r="L28" s="136">
        <f t="shared" si="8"/>
        <v>4153000</v>
      </c>
      <c r="M28" s="136">
        <f t="shared" si="8"/>
        <v>4153000</v>
      </c>
      <c r="N28" s="136">
        <f t="shared" si="8"/>
        <v>4153000</v>
      </c>
      <c r="O28" s="136">
        <f t="shared" si="8"/>
        <v>4153000</v>
      </c>
      <c r="P28" s="136">
        <f t="shared" si="8"/>
        <v>4153000</v>
      </c>
      <c r="Q28" s="136">
        <f t="shared" si="8"/>
        <v>4153000</v>
      </c>
      <c r="R28" s="136">
        <f t="shared" si="8"/>
        <v>4153000</v>
      </c>
      <c r="S28" s="136">
        <f t="shared" si="8"/>
        <v>4153000</v>
      </c>
      <c r="T28" s="136">
        <f t="shared" si="8"/>
        <v>4153000</v>
      </c>
      <c r="U28" s="136">
        <f t="shared" si="8"/>
        <v>4153000</v>
      </c>
      <c r="V28" s="136">
        <f t="shared" si="8"/>
        <v>4153000</v>
      </c>
      <c r="W28" s="136">
        <f t="shared" si="8"/>
        <v>4153000</v>
      </c>
      <c r="X28" s="136">
        <f t="shared" si="8"/>
        <v>4153000</v>
      </c>
      <c r="Y28" s="136">
        <f t="shared" si="8"/>
        <v>4153000</v>
      </c>
      <c r="Z28" s="136">
        <f t="shared" si="8"/>
        <v>4153000</v>
      </c>
      <c r="AA28" s="136">
        <f t="shared" si="8"/>
        <v>4153000</v>
      </c>
      <c r="AB28" s="136">
        <f t="shared" si="8"/>
        <v>4153000</v>
      </c>
      <c r="AC28" s="136">
        <f t="shared" si="8"/>
        <v>4153000</v>
      </c>
      <c r="AD28" s="136">
        <f t="shared" si="8"/>
        <v>4153000</v>
      </c>
      <c r="AE28" s="136">
        <f t="shared" si="8"/>
        <v>4153000</v>
      </c>
      <c r="AF28" s="136">
        <f t="shared" si="8"/>
        <v>4153000</v>
      </c>
      <c r="AG28" s="136">
        <f t="shared" si="8"/>
        <v>0</v>
      </c>
      <c r="AH28" s="136">
        <f t="shared" si="8"/>
        <v>0</v>
      </c>
      <c r="AI28" s="136">
        <f t="shared" si="8"/>
        <v>0</v>
      </c>
      <c r="AJ28" s="136">
        <f t="shared" si="8"/>
        <v>0</v>
      </c>
      <c r="AK28" s="136">
        <f t="shared" si="8"/>
        <v>0</v>
      </c>
      <c r="AL28" s="136">
        <f t="shared" si="8"/>
        <v>0</v>
      </c>
      <c r="AM28" s="136">
        <f t="shared" si="8"/>
        <v>0</v>
      </c>
      <c r="AN28" s="136">
        <f t="shared" si="8"/>
        <v>0</v>
      </c>
      <c r="AO28" s="136">
        <f t="shared" si="8"/>
        <v>0</v>
      </c>
      <c r="AP28" s="136">
        <f t="shared" si="8"/>
        <v>0</v>
      </c>
      <c r="AQ28" s="136">
        <f t="shared" si="8"/>
        <v>0</v>
      </c>
      <c r="AR28" s="136">
        <f t="shared" si="8"/>
        <v>0</v>
      </c>
      <c r="AS28" s="136">
        <f t="shared" si="8"/>
        <v>0</v>
      </c>
      <c r="AT28" s="136">
        <f t="shared" si="8"/>
        <v>0</v>
      </c>
      <c r="AU28" s="136">
        <f t="shared" si="8"/>
        <v>0</v>
      </c>
    </row>
    <row r="29" spans="4:47" ht="2.7" customHeight="1" x14ac:dyDescent="0.3">
      <c r="E29" s="132"/>
      <c r="F29" s="139"/>
    </row>
    <row r="30" spans="4:47" x14ac:dyDescent="0.3">
      <c r="E30" s="141" t="s">
        <v>405</v>
      </c>
      <c r="F30" s="139"/>
    </row>
    <row r="31" spans="4:47" ht="2.7" customHeight="1" x14ac:dyDescent="0.3">
      <c r="E31" s="141"/>
      <c r="F31" s="139"/>
    </row>
    <row r="32" spans="4:47" x14ac:dyDescent="0.3">
      <c r="D32" s="70" t="s">
        <v>179</v>
      </c>
      <c r="E32" s="331" t="s">
        <v>52</v>
      </c>
      <c r="F32" s="139" t="s">
        <v>121</v>
      </c>
      <c r="G32" s="145">
        <f>'4a. Cost Summaries'!$C$5</f>
        <v>3435384.2037671232</v>
      </c>
      <c r="H32" s="146">
        <f>IF(H15=0,'4a. Cost Summaries'!$C$5,0)</f>
        <v>0</v>
      </c>
      <c r="I32" s="146">
        <f>IF(I15=0,'4a. Cost Summaries'!$C$5,0)</f>
        <v>0</v>
      </c>
      <c r="J32" s="146">
        <f>IF(J15=0,'4a. Cost Summaries'!$C$5,0)</f>
        <v>0</v>
      </c>
      <c r="K32" s="146">
        <f>IF(K15=0,'4a. Cost Summaries'!$C$5,0)</f>
        <v>0</v>
      </c>
      <c r="L32" s="146">
        <f>IF(L15=0,'4a. Cost Summaries'!$C$5,0)</f>
        <v>0</v>
      </c>
      <c r="M32" s="146">
        <f>IF(M15=0,'4a. Cost Summaries'!$C$5,0)</f>
        <v>0</v>
      </c>
      <c r="N32" s="146">
        <f>IF(N15=0,'4a. Cost Summaries'!$C$5,0)</f>
        <v>0</v>
      </c>
      <c r="O32" s="146">
        <f>IF(O15=0,'4a. Cost Summaries'!$C$5,0)</f>
        <v>0</v>
      </c>
      <c r="P32" s="146">
        <f>IF(P15=0,'4a. Cost Summaries'!$C$5,0)</f>
        <v>0</v>
      </c>
      <c r="Q32" s="146">
        <f>IF(Q15=0,'4a. Cost Summaries'!$C$5,0)</f>
        <v>0</v>
      </c>
      <c r="R32" s="146">
        <f>IF(R15=0,'4a. Cost Summaries'!$C$5,0)</f>
        <v>0</v>
      </c>
      <c r="S32" s="146">
        <f>IF(S15=0,'4a. Cost Summaries'!$C$5,0)</f>
        <v>0</v>
      </c>
      <c r="T32" s="146">
        <f>IF(T15=0,'4a. Cost Summaries'!$C$5,0)</f>
        <v>0</v>
      </c>
      <c r="U32" s="146">
        <f>IF(U15=0,'4a. Cost Summaries'!$C$5,0)</f>
        <v>0</v>
      </c>
      <c r="V32" s="146">
        <f>IF(V15=0,'4a. Cost Summaries'!$C$5,0)</f>
        <v>0</v>
      </c>
      <c r="W32" s="146">
        <f>IF(W15=0,'4a. Cost Summaries'!$C$5,0)</f>
        <v>0</v>
      </c>
      <c r="X32" s="146">
        <f>IF(X15=0,'4a. Cost Summaries'!$C$5,0)</f>
        <v>0</v>
      </c>
      <c r="Y32" s="146">
        <f>IF(Y15=0,'4a. Cost Summaries'!$C$5,0)</f>
        <v>0</v>
      </c>
      <c r="Z32" s="146">
        <f>IF(Z15=0,'4a. Cost Summaries'!$C$5,0)</f>
        <v>0</v>
      </c>
      <c r="AA32" s="146">
        <f>IF(AA15=0,'4a. Cost Summaries'!$C$5,0)</f>
        <v>0</v>
      </c>
      <c r="AB32" s="146">
        <f>IF(AB15=0,'4a. Cost Summaries'!$C$5,0)</f>
        <v>0</v>
      </c>
      <c r="AC32" s="146">
        <f>IF(AC15=0,'4a. Cost Summaries'!$C$5,0)</f>
        <v>0</v>
      </c>
      <c r="AD32" s="146">
        <f>IF(AD15=0,'4a. Cost Summaries'!$C$5,0)</f>
        <v>0</v>
      </c>
      <c r="AE32" s="146">
        <f>IF(AE15=0,'4a. Cost Summaries'!$C$5,0)</f>
        <v>0</v>
      </c>
      <c r="AF32" s="146">
        <f>IF(AF15=0,'4a. Cost Summaries'!$C$5,0)</f>
        <v>0</v>
      </c>
      <c r="AG32" s="146">
        <f>IF(AG15=0,'4a. Cost Summaries'!$C$5,0)</f>
        <v>0</v>
      </c>
      <c r="AH32" s="146">
        <f>IF(AH15=0,'4a. Cost Summaries'!$C$5,0)</f>
        <v>0</v>
      </c>
      <c r="AI32" s="146">
        <f>IF(AI15=0,'4a. Cost Summaries'!$C$5,0)</f>
        <v>0</v>
      </c>
      <c r="AJ32" s="146">
        <f>IF(AJ15=0,'4a. Cost Summaries'!$C$5,0)</f>
        <v>0</v>
      </c>
      <c r="AK32" s="146">
        <f>IF(AK15=0,'4a. Cost Summaries'!$C$5,0)</f>
        <v>0</v>
      </c>
      <c r="AL32" s="146">
        <f>IF(AL15=0,'4a. Cost Summaries'!$C$5,0)</f>
        <v>0</v>
      </c>
      <c r="AM32" s="146">
        <f>IF(AM15=0,'4a. Cost Summaries'!$C$5,0)</f>
        <v>0</v>
      </c>
      <c r="AN32" s="146">
        <f>IF(AN15=0,'4a. Cost Summaries'!$C$5,0)</f>
        <v>0</v>
      </c>
      <c r="AO32" s="146">
        <f>IF(AO15=0,'4a. Cost Summaries'!$C$5,0)</f>
        <v>0</v>
      </c>
      <c r="AP32" s="146">
        <f>IF(AP15=0,'4a. Cost Summaries'!$C$5,0)</f>
        <v>0</v>
      </c>
      <c r="AQ32" s="146">
        <f>IF(AQ15=0,'4a. Cost Summaries'!$C$5,0)</f>
        <v>0</v>
      </c>
      <c r="AR32" s="146">
        <f>IF(AR15=0,'4a. Cost Summaries'!$C$5,0)</f>
        <v>0</v>
      </c>
      <c r="AS32" s="146">
        <f>IF(AS15=0,'4a. Cost Summaries'!$C$5,0)</f>
        <v>0</v>
      </c>
      <c r="AT32" s="146">
        <f>IF(AT15=0,'4a. Cost Summaries'!$C$5,0)</f>
        <v>0</v>
      </c>
      <c r="AU32" s="146">
        <f>IF(AU15=0,'4a. Cost Summaries'!$C$5,0)</f>
        <v>0</v>
      </c>
    </row>
    <row r="33" spans="4:47" x14ac:dyDescent="0.3">
      <c r="D33" s="70" t="s">
        <v>186</v>
      </c>
      <c r="E33" s="132" t="s">
        <v>51</v>
      </c>
      <c r="F33" s="139" t="s">
        <v>433</v>
      </c>
      <c r="G33" s="144">
        <f>'Household Offer'!D2</f>
        <v>0.17</v>
      </c>
      <c r="H33" s="142">
        <f t="shared" ref="H33:AU33" si="9">G33*(1+G17)</f>
        <v>0.17</v>
      </c>
      <c r="I33" s="142">
        <f t="shared" si="9"/>
        <v>0.17238000000000001</v>
      </c>
      <c r="J33" s="142">
        <f t="shared" si="9"/>
        <v>0.17479332</v>
      </c>
      <c r="K33" s="142">
        <f t="shared" si="9"/>
        <v>0.17724042647999999</v>
      </c>
      <c r="L33" s="142">
        <f t="shared" si="9"/>
        <v>0.17972179245071998</v>
      </c>
      <c r="M33" s="142">
        <f t="shared" si="9"/>
        <v>0.18223789754503006</v>
      </c>
      <c r="N33" s="142">
        <f t="shared" si="9"/>
        <v>0.18478922811066048</v>
      </c>
      <c r="O33" s="142">
        <f t="shared" si="9"/>
        <v>0.18737627730420972</v>
      </c>
      <c r="P33" s="142">
        <f t="shared" si="9"/>
        <v>0.18999954518646867</v>
      </c>
      <c r="Q33" s="142">
        <f t="shared" si="9"/>
        <v>0.19265953881907924</v>
      </c>
      <c r="R33" s="142">
        <f t="shared" si="9"/>
        <v>0.19535677236254634</v>
      </c>
      <c r="S33" s="142">
        <f t="shared" si="9"/>
        <v>0.19809176717562199</v>
      </c>
      <c r="T33" s="142">
        <f t="shared" si="9"/>
        <v>0.2008650519160807</v>
      </c>
      <c r="U33" s="142">
        <f t="shared" si="9"/>
        <v>0.20367716264290583</v>
      </c>
      <c r="V33" s="142">
        <f t="shared" si="9"/>
        <v>0.20652864291990652</v>
      </c>
      <c r="W33" s="142">
        <f t="shared" si="9"/>
        <v>0.20942004392078523</v>
      </c>
      <c r="X33" s="142">
        <f t="shared" si="9"/>
        <v>0.21235192453567622</v>
      </c>
      <c r="Y33" s="142">
        <f t="shared" si="9"/>
        <v>0.21532485147917568</v>
      </c>
      <c r="Z33" s="142">
        <f t="shared" si="9"/>
        <v>0.21833939939988414</v>
      </c>
      <c r="AA33" s="142">
        <f t="shared" si="9"/>
        <v>0.22139615099148252</v>
      </c>
      <c r="AB33" s="142">
        <f t="shared" si="9"/>
        <v>0.22449569710536327</v>
      </c>
      <c r="AC33" s="142">
        <f t="shared" si="9"/>
        <v>0.22763863686483835</v>
      </c>
      <c r="AD33" s="142">
        <f t="shared" si="9"/>
        <v>0.23082557778094609</v>
      </c>
      <c r="AE33" s="142">
        <f t="shared" si="9"/>
        <v>0.23405713586987933</v>
      </c>
      <c r="AF33" s="142">
        <f t="shared" si="9"/>
        <v>0.23733393577205764</v>
      </c>
      <c r="AG33" s="142">
        <f t="shared" si="9"/>
        <v>0.24065661087286644</v>
      </c>
      <c r="AH33" s="142">
        <f t="shared" si="9"/>
        <v>0.24402580342508656</v>
      </c>
      <c r="AI33" s="142">
        <f t="shared" si="9"/>
        <v>0.24744216467303778</v>
      </c>
      <c r="AJ33" s="142">
        <f t="shared" si="9"/>
        <v>0.25090635497846031</v>
      </c>
      <c r="AK33" s="142">
        <f t="shared" si="9"/>
        <v>0.25441904394815879</v>
      </c>
      <c r="AL33" s="142">
        <f t="shared" si="9"/>
        <v>0.25798091056343303</v>
      </c>
      <c r="AM33" s="142">
        <f t="shared" si="9"/>
        <v>0.26159264331132109</v>
      </c>
      <c r="AN33" s="142">
        <f t="shared" si="9"/>
        <v>0.2652549403176796</v>
      </c>
      <c r="AO33" s="142">
        <f t="shared" si="9"/>
        <v>0.26896850948212714</v>
      </c>
      <c r="AP33" s="142">
        <f t="shared" si="9"/>
        <v>0.27273406861487692</v>
      </c>
      <c r="AQ33" s="142">
        <f t="shared" si="9"/>
        <v>0.27655234557548519</v>
      </c>
      <c r="AR33" s="142">
        <f t="shared" si="9"/>
        <v>0.280424078413542</v>
      </c>
      <c r="AS33" s="142">
        <f t="shared" si="9"/>
        <v>0.2843500155113316</v>
      </c>
      <c r="AT33" s="142">
        <f t="shared" si="9"/>
        <v>0.28833091572849023</v>
      </c>
      <c r="AU33" s="142">
        <f t="shared" si="9"/>
        <v>0.29236754854868913</v>
      </c>
    </row>
    <row r="34" spans="4:47" x14ac:dyDescent="0.3">
      <c r="D34" s="77">
        <f>H34/12/'1. Site details'!D3</f>
        <v>58.834166666666661</v>
      </c>
      <c r="E34" s="331" t="s">
        <v>54</v>
      </c>
      <c r="F34" s="139" t="s">
        <v>121</v>
      </c>
      <c r="G34" s="136"/>
      <c r="H34" s="136">
        <f t="shared" ref="H34:AU34" si="10">H28*H33</f>
        <v>706010</v>
      </c>
      <c r="I34" s="136">
        <f t="shared" si="10"/>
        <v>715894.14</v>
      </c>
      <c r="J34" s="136">
        <f t="shared" si="10"/>
        <v>725916.65795999998</v>
      </c>
      <c r="K34" s="136">
        <f t="shared" si="10"/>
        <v>736079.49117143999</v>
      </c>
      <c r="L34" s="136">
        <f t="shared" si="10"/>
        <v>746384.60404784011</v>
      </c>
      <c r="M34" s="136">
        <f t="shared" si="10"/>
        <v>756833.98850450979</v>
      </c>
      <c r="N34" s="136">
        <f t="shared" si="10"/>
        <v>767429.66434357292</v>
      </c>
      <c r="O34" s="136">
        <f t="shared" si="10"/>
        <v>778173.67964438302</v>
      </c>
      <c r="P34" s="136">
        <f t="shared" si="10"/>
        <v>789068.11115940439</v>
      </c>
      <c r="Q34" s="136">
        <f t="shared" si="10"/>
        <v>800115.06471563608</v>
      </c>
      <c r="R34" s="136">
        <f t="shared" si="10"/>
        <v>811316.67562165495</v>
      </c>
      <c r="S34" s="136">
        <f t="shared" si="10"/>
        <v>822675.10908035818</v>
      </c>
      <c r="T34" s="136">
        <f t="shared" si="10"/>
        <v>834192.56060748314</v>
      </c>
      <c r="U34" s="136">
        <f t="shared" si="10"/>
        <v>845871.25645598792</v>
      </c>
      <c r="V34" s="136">
        <f t="shared" si="10"/>
        <v>857713.45404637174</v>
      </c>
      <c r="W34" s="136">
        <f t="shared" si="10"/>
        <v>869721.44240302104</v>
      </c>
      <c r="X34" s="136">
        <f t="shared" si="10"/>
        <v>881897.54259666335</v>
      </c>
      <c r="Y34" s="136">
        <f t="shared" si="10"/>
        <v>894244.10819301661</v>
      </c>
      <c r="Z34" s="136">
        <f t="shared" si="10"/>
        <v>906763.5257077188</v>
      </c>
      <c r="AA34" s="136">
        <f t="shared" si="10"/>
        <v>919458.21506762691</v>
      </c>
      <c r="AB34" s="136">
        <f t="shared" si="10"/>
        <v>932330.63007857359</v>
      </c>
      <c r="AC34" s="136">
        <f t="shared" si="10"/>
        <v>945383.2588996737</v>
      </c>
      <c r="AD34" s="136">
        <f t="shared" si="10"/>
        <v>958618.62452426914</v>
      </c>
      <c r="AE34" s="136">
        <f t="shared" si="10"/>
        <v>972039.28526760882</v>
      </c>
      <c r="AF34" s="136">
        <f t="shared" si="10"/>
        <v>985647.83526135539</v>
      </c>
      <c r="AG34" s="136">
        <f t="shared" si="10"/>
        <v>0</v>
      </c>
      <c r="AH34" s="136">
        <f t="shared" si="10"/>
        <v>0</v>
      </c>
      <c r="AI34" s="136">
        <f t="shared" si="10"/>
        <v>0</v>
      </c>
      <c r="AJ34" s="136">
        <f t="shared" si="10"/>
        <v>0</v>
      </c>
      <c r="AK34" s="136">
        <f t="shared" si="10"/>
        <v>0</v>
      </c>
      <c r="AL34" s="136">
        <f t="shared" si="10"/>
        <v>0</v>
      </c>
      <c r="AM34" s="136">
        <f t="shared" si="10"/>
        <v>0</v>
      </c>
      <c r="AN34" s="136">
        <f t="shared" si="10"/>
        <v>0</v>
      </c>
      <c r="AO34" s="136">
        <f t="shared" si="10"/>
        <v>0</v>
      </c>
      <c r="AP34" s="136">
        <f t="shared" si="10"/>
        <v>0</v>
      </c>
      <c r="AQ34" s="136">
        <f t="shared" si="10"/>
        <v>0</v>
      </c>
      <c r="AR34" s="136">
        <f t="shared" si="10"/>
        <v>0</v>
      </c>
      <c r="AS34" s="136">
        <f t="shared" si="10"/>
        <v>0</v>
      </c>
      <c r="AT34" s="136">
        <f t="shared" si="10"/>
        <v>0</v>
      </c>
      <c r="AU34" s="136">
        <f t="shared" si="10"/>
        <v>0</v>
      </c>
    </row>
    <row r="35" spans="4:47" x14ac:dyDescent="0.3">
      <c r="E35" s="132" t="s">
        <v>394</v>
      </c>
      <c r="F35" s="139" t="s">
        <v>121</v>
      </c>
      <c r="G35" s="136"/>
      <c r="H35" s="143">
        <f>H33*(H27+H26)</f>
        <v>536010</v>
      </c>
      <c r="I35" s="143">
        <f t="shared" ref="I35:AU35" si="11">I33*(I27+I26)</f>
        <v>540796.56929999997</v>
      </c>
      <c r="J35" s="143">
        <f t="shared" si="11"/>
        <v>545625.88266384904</v>
      </c>
      <c r="K35" s="143">
        <f t="shared" si="11"/>
        <v>550498.32179603714</v>
      </c>
      <c r="L35" s="143">
        <f t="shared" si="11"/>
        <v>555414.27180967573</v>
      </c>
      <c r="M35" s="143">
        <f t="shared" si="11"/>
        <v>560374.12125693611</v>
      </c>
      <c r="N35" s="143">
        <f t="shared" si="11"/>
        <v>565378.26215976058</v>
      </c>
      <c r="O35" s="143">
        <f t="shared" si="11"/>
        <v>570427.09004084719</v>
      </c>
      <c r="P35" s="143">
        <f t="shared" si="11"/>
        <v>575521.00395491207</v>
      </c>
      <c r="Q35" s="143">
        <f t="shared" si="11"/>
        <v>580660.40652022942</v>
      </c>
      <c r="R35" s="143">
        <f t="shared" si="11"/>
        <v>585845.70395045495</v>
      </c>
      <c r="S35" s="143">
        <f t="shared" si="11"/>
        <v>591077.30608673254</v>
      </c>
      <c r="T35" s="143">
        <f t="shared" si="11"/>
        <v>596355.62643008714</v>
      </c>
      <c r="U35" s="143">
        <f t="shared" si="11"/>
        <v>601681.08217410778</v>
      </c>
      <c r="V35" s="143">
        <f t="shared" si="11"/>
        <v>607054.09423792257</v>
      </c>
      <c r="W35" s="143">
        <f t="shared" si="11"/>
        <v>612475.0872994673</v>
      </c>
      <c r="X35" s="143">
        <f t="shared" si="11"/>
        <v>617944.48982905142</v>
      </c>
      <c r="Y35" s="143">
        <f t="shared" si="11"/>
        <v>623462.73412322486</v>
      </c>
      <c r="Z35" s="143">
        <f t="shared" si="11"/>
        <v>629030.25633894536</v>
      </c>
      <c r="AA35" s="143">
        <f t="shared" si="11"/>
        <v>634647.49652805203</v>
      </c>
      <c r="AB35" s="143">
        <f t="shared" si="11"/>
        <v>640314.89867204754</v>
      </c>
      <c r="AC35" s="143">
        <f t="shared" si="11"/>
        <v>646032.91071718896</v>
      </c>
      <c r="AD35" s="143">
        <f t="shared" si="11"/>
        <v>651801.98460989352</v>
      </c>
      <c r="AE35" s="143">
        <f t="shared" si="11"/>
        <v>657622.57633245981</v>
      </c>
      <c r="AF35" s="143">
        <f t="shared" si="11"/>
        <v>663495.14593910868</v>
      </c>
      <c r="AG35" s="143">
        <f t="shared" si="11"/>
        <v>0</v>
      </c>
      <c r="AH35" s="143">
        <f t="shared" si="11"/>
        <v>0</v>
      </c>
      <c r="AI35" s="143">
        <f t="shared" si="11"/>
        <v>0</v>
      </c>
      <c r="AJ35" s="143">
        <f t="shared" si="11"/>
        <v>0</v>
      </c>
      <c r="AK35" s="143">
        <f t="shared" si="11"/>
        <v>0</v>
      </c>
      <c r="AL35" s="143">
        <f t="shared" si="11"/>
        <v>0</v>
      </c>
      <c r="AM35" s="143">
        <f t="shared" si="11"/>
        <v>0</v>
      </c>
      <c r="AN35" s="143">
        <f t="shared" si="11"/>
        <v>0</v>
      </c>
      <c r="AO35" s="143">
        <f t="shared" si="11"/>
        <v>0</v>
      </c>
      <c r="AP35" s="143">
        <f t="shared" si="11"/>
        <v>0</v>
      </c>
      <c r="AQ35" s="143">
        <f t="shared" si="11"/>
        <v>0</v>
      </c>
      <c r="AR35" s="143">
        <f t="shared" si="11"/>
        <v>0</v>
      </c>
      <c r="AS35" s="143">
        <f t="shared" si="11"/>
        <v>0</v>
      </c>
      <c r="AT35" s="143">
        <f t="shared" si="11"/>
        <v>0</v>
      </c>
      <c r="AU35" s="143">
        <f t="shared" si="11"/>
        <v>0</v>
      </c>
    </row>
    <row r="36" spans="4:47" x14ac:dyDescent="0.3">
      <c r="E36" s="331" t="s">
        <v>396</v>
      </c>
      <c r="F36" s="139" t="s">
        <v>108</v>
      </c>
      <c r="G36" s="138"/>
      <c r="H36" s="138">
        <f t="shared" ref="H36:AU36" si="12">IFERROR(H35/H34,0)</f>
        <v>0.7592102094871177</v>
      </c>
      <c r="I36" s="138">
        <f t="shared" si="12"/>
        <v>0.75541415843968207</v>
      </c>
      <c r="J36" s="138">
        <f t="shared" si="12"/>
        <v>0.75163708764748383</v>
      </c>
      <c r="K36" s="138">
        <f t="shared" si="12"/>
        <v>0.74787890220924624</v>
      </c>
      <c r="L36" s="138">
        <f t="shared" si="12"/>
        <v>0.74413950769820003</v>
      </c>
      <c r="M36" s="138">
        <f t="shared" si="12"/>
        <v>0.74041881015970912</v>
      </c>
      <c r="N36" s="138">
        <f t="shared" si="12"/>
        <v>0.73671671610891065</v>
      </c>
      <c r="O36" s="138">
        <f t="shared" si="12"/>
        <v>0.73303313252836588</v>
      </c>
      <c r="P36" s="138">
        <f t="shared" si="12"/>
        <v>0.72936796686572425</v>
      </c>
      <c r="Q36" s="138">
        <f t="shared" si="12"/>
        <v>0.72572112703139557</v>
      </c>
      <c r="R36" s="138">
        <f t="shared" si="12"/>
        <v>0.72209252139623847</v>
      </c>
      <c r="S36" s="138">
        <f t="shared" si="12"/>
        <v>0.71848205878925731</v>
      </c>
      <c r="T36" s="138">
        <f t="shared" si="12"/>
        <v>0.71488964849531111</v>
      </c>
      <c r="U36" s="138">
        <f t="shared" si="12"/>
        <v>0.71131520025283446</v>
      </c>
      <c r="V36" s="138">
        <f t="shared" si="12"/>
        <v>0.70775862425157032</v>
      </c>
      <c r="W36" s="138">
        <f t="shared" si="12"/>
        <v>0.7042198311303125</v>
      </c>
      <c r="X36" s="138">
        <f t="shared" si="12"/>
        <v>0.70069873197466082</v>
      </c>
      <c r="Y36" s="138">
        <f t="shared" si="12"/>
        <v>0.69719523831478758</v>
      </c>
      <c r="Z36" s="138">
        <f t="shared" si="12"/>
        <v>0.69370926212321371</v>
      </c>
      <c r="AA36" s="138">
        <f t="shared" si="12"/>
        <v>0.69024071581259749</v>
      </c>
      <c r="AB36" s="138">
        <f t="shared" si="12"/>
        <v>0.68678951223353457</v>
      </c>
      <c r="AC36" s="138">
        <f t="shared" si="12"/>
        <v>0.68335556467236691</v>
      </c>
      <c r="AD36" s="138">
        <f t="shared" si="12"/>
        <v>0.67993878684900511</v>
      </c>
      <c r="AE36" s="138">
        <f t="shared" si="12"/>
        <v>0.67653909291476011</v>
      </c>
      <c r="AF36" s="138">
        <f t="shared" si="12"/>
        <v>0.67315639745018629</v>
      </c>
      <c r="AG36" s="138">
        <f t="shared" si="12"/>
        <v>0</v>
      </c>
      <c r="AH36" s="138">
        <f t="shared" si="12"/>
        <v>0</v>
      </c>
      <c r="AI36" s="138">
        <f t="shared" si="12"/>
        <v>0</v>
      </c>
      <c r="AJ36" s="138">
        <f t="shared" si="12"/>
        <v>0</v>
      </c>
      <c r="AK36" s="138">
        <f t="shared" si="12"/>
        <v>0</v>
      </c>
      <c r="AL36" s="138">
        <f t="shared" si="12"/>
        <v>0</v>
      </c>
      <c r="AM36" s="138">
        <f t="shared" si="12"/>
        <v>0</v>
      </c>
      <c r="AN36" s="138">
        <f t="shared" si="12"/>
        <v>0</v>
      </c>
      <c r="AO36" s="138">
        <f t="shared" si="12"/>
        <v>0</v>
      </c>
      <c r="AP36" s="138">
        <f t="shared" si="12"/>
        <v>0</v>
      </c>
      <c r="AQ36" s="138">
        <f t="shared" si="12"/>
        <v>0</v>
      </c>
      <c r="AR36" s="138">
        <f t="shared" si="12"/>
        <v>0</v>
      </c>
      <c r="AS36" s="138">
        <f t="shared" si="12"/>
        <v>0</v>
      </c>
      <c r="AT36" s="138">
        <f t="shared" si="12"/>
        <v>0</v>
      </c>
      <c r="AU36" s="138">
        <f t="shared" si="12"/>
        <v>0</v>
      </c>
    </row>
    <row r="37" spans="4:47" ht="2.7" customHeight="1" x14ac:dyDescent="0.3">
      <c r="E37" s="132"/>
      <c r="F37" s="139"/>
    </row>
    <row r="38" spans="4:47" x14ac:dyDescent="0.3">
      <c r="D38" s="34"/>
      <c r="E38" s="141" t="s">
        <v>53</v>
      </c>
      <c r="F38" s="139"/>
    </row>
    <row r="39" spans="4:47" ht="2.7" customHeight="1" x14ac:dyDescent="0.3">
      <c r="E39" s="132"/>
      <c r="F39" s="139"/>
    </row>
    <row r="40" spans="4:47" s="12" customFormat="1" x14ac:dyDescent="0.3">
      <c r="D40" s="70" t="s">
        <v>195</v>
      </c>
      <c r="E40" s="338" t="s">
        <v>397</v>
      </c>
      <c r="F40" s="177" t="s">
        <v>121</v>
      </c>
      <c r="G40" s="333">
        <f>D2</f>
        <v>0.25</v>
      </c>
      <c r="H40" s="334">
        <f>(H36*$G$40)*H34</f>
        <v>134002.5</v>
      </c>
      <c r="I40" s="334">
        <f t="shared" ref="I40:AU40" si="13">(I36*$G$40)*I34</f>
        <v>135199.14232499999</v>
      </c>
      <c r="J40" s="334">
        <f t="shared" si="13"/>
        <v>136406.47066596226</v>
      </c>
      <c r="K40" s="334">
        <f t="shared" si="13"/>
        <v>137624.58044900929</v>
      </c>
      <c r="L40" s="334">
        <f t="shared" si="13"/>
        <v>138853.56795241893</v>
      </c>
      <c r="M40" s="334">
        <f t="shared" si="13"/>
        <v>140093.53031423403</v>
      </c>
      <c r="N40" s="334">
        <f t="shared" si="13"/>
        <v>141344.56553994014</v>
      </c>
      <c r="O40" s="334">
        <f t="shared" si="13"/>
        <v>142606.7725102118</v>
      </c>
      <c r="P40" s="334">
        <f t="shared" si="13"/>
        <v>143880.25098872802</v>
      </c>
      <c r="Q40" s="334">
        <f t="shared" si="13"/>
        <v>145165.10163005735</v>
      </c>
      <c r="R40" s="334">
        <f t="shared" si="13"/>
        <v>146461.42598761374</v>
      </c>
      <c r="S40" s="334">
        <f t="shared" si="13"/>
        <v>147769.32652168314</v>
      </c>
      <c r="T40" s="334">
        <f t="shared" si="13"/>
        <v>149088.90660752179</v>
      </c>
      <c r="U40" s="334">
        <f t="shared" si="13"/>
        <v>150420.27054352695</v>
      </c>
      <c r="V40" s="334">
        <f t="shared" si="13"/>
        <v>151763.52355948064</v>
      </c>
      <c r="W40" s="334">
        <f t="shared" si="13"/>
        <v>153118.77182486682</v>
      </c>
      <c r="X40" s="334">
        <f t="shared" si="13"/>
        <v>154486.12245726286</v>
      </c>
      <c r="Y40" s="334">
        <f t="shared" si="13"/>
        <v>155865.68353080621</v>
      </c>
      <c r="Z40" s="334">
        <f t="shared" si="13"/>
        <v>157257.56408473634</v>
      </c>
      <c r="AA40" s="334">
        <f t="shared" si="13"/>
        <v>158661.87413201301</v>
      </c>
      <c r="AB40" s="334">
        <f t="shared" si="13"/>
        <v>160078.72466801188</v>
      </c>
      <c r="AC40" s="334">
        <f t="shared" si="13"/>
        <v>161508.22767929724</v>
      </c>
      <c r="AD40" s="334">
        <f t="shared" si="13"/>
        <v>162950.49615247338</v>
      </c>
      <c r="AE40" s="334">
        <f t="shared" si="13"/>
        <v>164405.64408311495</v>
      </c>
      <c r="AF40" s="334">
        <f t="shared" si="13"/>
        <v>165873.78648477717</v>
      </c>
      <c r="AG40" s="334">
        <f t="shared" si="13"/>
        <v>0</v>
      </c>
      <c r="AH40" s="334">
        <f t="shared" si="13"/>
        <v>0</v>
      </c>
      <c r="AI40" s="334">
        <f t="shared" si="13"/>
        <v>0</v>
      </c>
      <c r="AJ40" s="334">
        <f t="shared" si="13"/>
        <v>0</v>
      </c>
      <c r="AK40" s="334">
        <f t="shared" si="13"/>
        <v>0</v>
      </c>
      <c r="AL40" s="334">
        <f t="shared" si="13"/>
        <v>0</v>
      </c>
      <c r="AM40" s="334">
        <f t="shared" si="13"/>
        <v>0</v>
      </c>
      <c r="AN40" s="334">
        <f t="shared" si="13"/>
        <v>0</v>
      </c>
      <c r="AO40" s="334">
        <f t="shared" si="13"/>
        <v>0</v>
      </c>
      <c r="AP40" s="334">
        <f t="shared" si="13"/>
        <v>0</v>
      </c>
      <c r="AQ40" s="334">
        <f t="shared" si="13"/>
        <v>0</v>
      </c>
      <c r="AR40" s="334">
        <f t="shared" si="13"/>
        <v>0</v>
      </c>
      <c r="AS40" s="334">
        <f t="shared" si="13"/>
        <v>0</v>
      </c>
      <c r="AT40" s="334">
        <f t="shared" si="13"/>
        <v>0</v>
      </c>
      <c r="AU40" s="334">
        <f t="shared" si="13"/>
        <v>0</v>
      </c>
    </row>
    <row r="41" spans="4:47" x14ac:dyDescent="0.3">
      <c r="D41" s="70" t="s">
        <v>178</v>
      </c>
      <c r="E41" s="331" t="s">
        <v>391</v>
      </c>
      <c r="F41" s="139" t="s">
        <v>121</v>
      </c>
      <c r="G41" s="135">
        <f>'1. Site details'!D3*'4a. Cost Summaries'!D8*12</f>
        <v>0</v>
      </c>
      <c r="H41" s="143">
        <f t="shared" ref="H41:AU41" si="14">G41*(1+G$17)*H16</f>
        <v>0</v>
      </c>
      <c r="I41" s="143">
        <f t="shared" si="14"/>
        <v>0</v>
      </c>
      <c r="J41" s="143">
        <f t="shared" si="14"/>
        <v>0</v>
      </c>
      <c r="K41" s="143">
        <f t="shared" si="14"/>
        <v>0</v>
      </c>
      <c r="L41" s="143">
        <f t="shared" si="14"/>
        <v>0</v>
      </c>
      <c r="M41" s="143">
        <f t="shared" si="14"/>
        <v>0</v>
      </c>
      <c r="N41" s="143">
        <f t="shared" si="14"/>
        <v>0</v>
      </c>
      <c r="O41" s="143">
        <f t="shared" si="14"/>
        <v>0</v>
      </c>
      <c r="P41" s="143">
        <f t="shared" si="14"/>
        <v>0</v>
      </c>
      <c r="Q41" s="143">
        <f t="shared" si="14"/>
        <v>0</v>
      </c>
      <c r="R41" s="143">
        <f t="shared" si="14"/>
        <v>0</v>
      </c>
      <c r="S41" s="143">
        <f t="shared" si="14"/>
        <v>0</v>
      </c>
      <c r="T41" s="143">
        <f t="shared" si="14"/>
        <v>0</v>
      </c>
      <c r="U41" s="143">
        <f t="shared" si="14"/>
        <v>0</v>
      </c>
      <c r="V41" s="143">
        <f t="shared" si="14"/>
        <v>0</v>
      </c>
      <c r="W41" s="143">
        <f t="shared" si="14"/>
        <v>0</v>
      </c>
      <c r="X41" s="143">
        <f t="shared" si="14"/>
        <v>0</v>
      </c>
      <c r="Y41" s="143">
        <f t="shared" si="14"/>
        <v>0</v>
      </c>
      <c r="Z41" s="143">
        <f t="shared" si="14"/>
        <v>0</v>
      </c>
      <c r="AA41" s="143">
        <f t="shared" si="14"/>
        <v>0</v>
      </c>
      <c r="AB41" s="143">
        <f t="shared" si="14"/>
        <v>0</v>
      </c>
      <c r="AC41" s="143">
        <f t="shared" si="14"/>
        <v>0</v>
      </c>
      <c r="AD41" s="143">
        <f t="shared" si="14"/>
        <v>0</v>
      </c>
      <c r="AE41" s="143">
        <f t="shared" si="14"/>
        <v>0</v>
      </c>
      <c r="AF41" s="143">
        <f t="shared" si="14"/>
        <v>0</v>
      </c>
      <c r="AG41" s="143">
        <f t="shared" si="14"/>
        <v>0</v>
      </c>
      <c r="AH41" s="143">
        <f t="shared" si="14"/>
        <v>0</v>
      </c>
      <c r="AI41" s="143">
        <f t="shared" si="14"/>
        <v>0</v>
      </c>
      <c r="AJ41" s="143">
        <f t="shared" si="14"/>
        <v>0</v>
      </c>
      <c r="AK41" s="143">
        <f t="shared" si="14"/>
        <v>0</v>
      </c>
      <c r="AL41" s="143">
        <f t="shared" si="14"/>
        <v>0</v>
      </c>
      <c r="AM41" s="143">
        <f t="shared" si="14"/>
        <v>0</v>
      </c>
      <c r="AN41" s="143">
        <f t="shared" si="14"/>
        <v>0</v>
      </c>
      <c r="AO41" s="143">
        <f t="shared" si="14"/>
        <v>0</v>
      </c>
      <c r="AP41" s="143">
        <f t="shared" si="14"/>
        <v>0</v>
      </c>
      <c r="AQ41" s="143">
        <f t="shared" si="14"/>
        <v>0</v>
      </c>
      <c r="AR41" s="143">
        <f t="shared" si="14"/>
        <v>0</v>
      </c>
      <c r="AS41" s="143">
        <f t="shared" si="14"/>
        <v>0</v>
      </c>
      <c r="AT41" s="143">
        <f t="shared" si="14"/>
        <v>0</v>
      </c>
      <c r="AU41" s="143">
        <f t="shared" si="14"/>
        <v>0</v>
      </c>
    </row>
    <row r="42" spans="4:47" x14ac:dyDescent="0.3">
      <c r="D42" s="70" t="s">
        <v>178</v>
      </c>
      <c r="E42" s="331" t="s">
        <v>392</v>
      </c>
      <c r="F42" s="139" t="s">
        <v>121</v>
      </c>
      <c r="G42" s="135">
        <f>'1. Site details'!D3*'4a. Cost Summaries'!D7*12</f>
        <v>0</v>
      </c>
      <c r="H42" s="143">
        <f t="shared" ref="H42:AU42" si="15">G42*(1+G$17)*H16</f>
        <v>0</v>
      </c>
      <c r="I42" s="143">
        <f t="shared" si="15"/>
        <v>0</v>
      </c>
      <c r="J42" s="143">
        <f t="shared" si="15"/>
        <v>0</v>
      </c>
      <c r="K42" s="143">
        <f t="shared" si="15"/>
        <v>0</v>
      </c>
      <c r="L42" s="143">
        <f t="shared" si="15"/>
        <v>0</v>
      </c>
      <c r="M42" s="143">
        <f t="shared" si="15"/>
        <v>0</v>
      </c>
      <c r="N42" s="143">
        <f t="shared" si="15"/>
        <v>0</v>
      </c>
      <c r="O42" s="143">
        <f t="shared" si="15"/>
        <v>0</v>
      </c>
      <c r="P42" s="143">
        <f t="shared" si="15"/>
        <v>0</v>
      </c>
      <c r="Q42" s="143">
        <f t="shared" si="15"/>
        <v>0</v>
      </c>
      <c r="R42" s="143">
        <f t="shared" si="15"/>
        <v>0</v>
      </c>
      <c r="S42" s="143">
        <f t="shared" si="15"/>
        <v>0</v>
      </c>
      <c r="T42" s="143">
        <f t="shared" si="15"/>
        <v>0</v>
      </c>
      <c r="U42" s="143">
        <f t="shared" si="15"/>
        <v>0</v>
      </c>
      <c r="V42" s="143">
        <f t="shared" si="15"/>
        <v>0</v>
      </c>
      <c r="W42" s="143">
        <f t="shared" si="15"/>
        <v>0</v>
      </c>
      <c r="X42" s="143">
        <f t="shared" si="15"/>
        <v>0</v>
      </c>
      <c r="Y42" s="143">
        <f t="shared" si="15"/>
        <v>0</v>
      </c>
      <c r="Z42" s="143">
        <f t="shared" si="15"/>
        <v>0</v>
      </c>
      <c r="AA42" s="143">
        <f t="shared" si="15"/>
        <v>0</v>
      </c>
      <c r="AB42" s="143">
        <f t="shared" si="15"/>
        <v>0</v>
      </c>
      <c r="AC42" s="143">
        <f t="shared" si="15"/>
        <v>0</v>
      </c>
      <c r="AD42" s="143">
        <f t="shared" si="15"/>
        <v>0</v>
      </c>
      <c r="AE42" s="143">
        <f t="shared" si="15"/>
        <v>0</v>
      </c>
      <c r="AF42" s="143">
        <f t="shared" si="15"/>
        <v>0</v>
      </c>
      <c r="AG42" s="143">
        <f t="shared" si="15"/>
        <v>0</v>
      </c>
      <c r="AH42" s="143">
        <f t="shared" si="15"/>
        <v>0</v>
      </c>
      <c r="AI42" s="143">
        <f t="shared" si="15"/>
        <v>0</v>
      </c>
      <c r="AJ42" s="143">
        <f t="shared" si="15"/>
        <v>0</v>
      </c>
      <c r="AK42" s="143">
        <f t="shared" si="15"/>
        <v>0</v>
      </c>
      <c r="AL42" s="143">
        <f t="shared" si="15"/>
        <v>0</v>
      </c>
      <c r="AM42" s="143">
        <f t="shared" si="15"/>
        <v>0</v>
      </c>
      <c r="AN42" s="143">
        <f t="shared" si="15"/>
        <v>0</v>
      </c>
      <c r="AO42" s="143">
        <f t="shared" si="15"/>
        <v>0</v>
      </c>
      <c r="AP42" s="143">
        <f t="shared" si="15"/>
        <v>0</v>
      </c>
      <c r="AQ42" s="143">
        <f t="shared" si="15"/>
        <v>0</v>
      </c>
      <c r="AR42" s="143">
        <f t="shared" si="15"/>
        <v>0</v>
      </c>
      <c r="AS42" s="143">
        <f t="shared" si="15"/>
        <v>0</v>
      </c>
      <c r="AT42" s="143">
        <f t="shared" si="15"/>
        <v>0</v>
      </c>
      <c r="AU42" s="143">
        <f t="shared" si="15"/>
        <v>0</v>
      </c>
    </row>
    <row r="43" spans="4:47" s="12" customFormat="1" x14ac:dyDescent="0.3">
      <c r="D43" s="335" t="s">
        <v>189</v>
      </c>
      <c r="E43" s="338" t="s">
        <v>413</v>
      </c>
      <c r="F43" s="339" t="s">
        <v>121</v>
      </c>
      <c r="G43" s="340"/>
      <c r="H43" s="341">
        <f t="shared" ref="H43:AU43" si="16">IF(G79&lt;=$G$76,$D$3*$G$76,0)</f>
        <v>103061.52611301377</v>
      </c>
      <c r="I43" s="341">
        <f t="shared" si="16"/>
        <v>103061.52611301377</v>
      </c>
      <c r="J43" s="341">
        <f t="shared" si="16"/>
        <v>103061.52611301377</v>
      </c>
      <c r="K43" s="341">
        <f t="shared" si="16"/>
        <v>103061.52611301377</v>
      </c>
      <c r="L43" s="341">
        <f t="shared" si="16"/>
        <v>103061.52611301377</v>
      </c>
      <c r="M43" s="341">
        <f t="shared" si="16"/>
        <v>103061.52611301377</v>
      </c>
      <c r="N43" s="341">
        <f t="shared" si="16"/>
        <v>103061.52611301377</v>
      </c>
      <c r="O43" s="341">
        <f t="shared" si="16"/>
        <v>103061.52611301377</v>
      </c>
      <c r="P43" s="341">
        <f t="shared" si="16"/>
        <v>103061.52611301377</v>
      </c>
      <c r="Q43" s="341">
        <f t="shared" si="16"/>
        <v>103061.52611301377</v>
      </c>
      <c r="R43" s="341">
        <f t="shared" si="16"/>
        <v>103061.52611301377</v>
      </c>
      <c r="S43" s="341">
        <f t="shared" si="16"/>
        <v>103061.52611301377</v>
      </c>
      <c r="T43" s="341">
        <f t="shared" si="16"/>
        <v>103061.52611301377</v>
      </c>
      <c r="U43" s="341">
        <f t="shared" si="16"/>
        <v>103061.52611301377</v>
      </c>
      <c r="V43" s="341">
        <f t="shared" si="16"/>
        <v>103061.52611301377</v>
      </c>
      <c r="W43" s="341">
        <f t="shared" si="16"/>
        <v>103061.52611301377</v>
      </c>
      <c r="X43" s="341">
        <f t="shared" si="16"/>
        <v>103061.52611301377</v>
      </c>
      <c r="Y43" s="341">
        <f t="shared" si="16"/>
        <v>103061.52611301377</v>
      </c>
      <c r="Z43" s="341">
        <f t="shared" si="16"/>
        <v>103061.52611301377</v>
      </c>
      <c r="AA43" s="341">
        <f t="shared" si="16"/>
        <v>103061.52611301377</v>
      </c>
      <c r="AB43" s="341">
        <f t="shared" si="16"/>
        <v>103061.52611301377</v>
      </c>
      <c r="AC43" s="341">
        <f t="shared" si="16"/>
        <v>103061.52611301377</v>
      </c>
      <c r="AD43" s="341">
        <f t="shared" si="16"/>
        <v>103061.52611301377</v>
      </c>
      <c r="AE43" s="341">
        <f t="shared" si="16"/>
        <v>103061.52611301377</v>
      </c>
      <c r="AF43" s="341">
        <f t="shared" si="16"/>
        <v>0</v>
      </c>
      <c r="AG43" s="341">
        <f t="shared" si="16"/>
        <v>0</v>
      </c>
      <c r="AH43" s="341">
        <f t="shared" si="16"/>
        <v>0</v>
      </c>
      <c r="AI43" s="341">
        <f t="shared" si="16"/>
        <v>0</v>
      </c>
      <c r="AJ43" s="341">
        <f t="shared" si="16"/>
        <v>0</v>
      </c>
      <c r="AK43" s="341">
        <f t="shared" si="16"/>
        <v>0</v>
      </c>
      <c r="AL43" s="341">
        <f t="shared" si="16"/>
        <v>0</v>
      </c>
      <c r="AM43" s="341">
        <f t="shared" si="16"/>
        <v>0</v>
      </c>
      <c r="AN43" s="341">
        <f t="shared" si="16"/>
        <v>0</v>
      </c>
      <c r="AO43" s="341">
        <f t="shared" si="16"/>
        <v>0</v>
      </c>
      <c r="AP43" s="341">
        <f t="shared" si="16"/>
        <v>0</v>
      </c>
      <c r="AQ43" s="341">
        <f t="shared" si="16"/>
        <v>0</v>
      </c>
      <c r="AR43" s="341">
        <f t="shared" si="16"/>
        <v>0</v>
      </c>
      <c r="AS43" s="341">
        <f t="shared" si="16"/>
        <v>0</v>
      </c>
      <c r="AT43" s="341">
        <f t="shared" si="16"/>
        <v>0</v>
      </c>
      <c r="AU43" s="341">
        <f t="shared" si="16"/>
        <v>0</v>
      </c>
    </row>
    <row r="44" spans="4:47" s="215" customFormat="1" x14ac:dyDescent="0.3">
      <c r="D44" s="148"/>
      <c r="E44" s="331" t="s">
        <v>411</v>
      </c>
      <c r="F44" s="343" t="s">
        <v>121</v>
      </c>
      <c r="G44" s="133"/>
      <c r="H44" s="330">
        <f>H40+H41+H42+H43</f>
        <v>237064.02611301377</v>
      </c>
      <c r="I44" s="330">
        <f t="shared" ref="I44:AU44" si="17">I40+I41+I42+I43</f>
        <v>238260.66843801376</v>
      </c>
      <c r="J44" s="330">
        <f t="shared" si="17"/>
        <v>239467.99677897603</v>
      </c>
      <c r="K44" s="330">
        <f t="shared" si="17"/>
        <v>240686.10656202305</v>
      </c>
      <c r="L44" s="330">
        <f t="shared" si="17"/>
        <v>241915.0940654327</v>
      </c>
      <c r="M44" s="330">
        <f t="shared" si="17"/>
        <v>243155.05642724779</v>
      </c>
      <c r="N44" s="330">
        <f t="shared" si="17"/>
        <v>244406.09165295391</v>
      </c>
      <c r="O44" s="330">
        <f t="shared" si="17"/>
        <v>245668.29862322556</v>
      </c>
      <c r="P44" s="330">
        <f t="shared" si="17"/>
        <v>246941.77710174178</v>
      </c>
      <c r="Q44" s="330">
        <f t="shared" si="17"/>
        <v>248226.62774307112</v>
      </c>
      <c r="R44" s="330">
        <f t="shared" si="17"/>
        <v>249522.9521006275</v>
      </c>
      <c r="S44" s="330">
        <f t="shared" si="17"/>
        <v>250830.8526346969</v>
      </c>
      <c r="T44" s="330">
        <f t="shared" si="17"/>
        <v>252150.43272053555</v>
      </c>
      <c r="U44" s="330">
        <f t="shared" si="17"/>
        <v>253481.79665654071</v>
      </c>
      <c r="V44" s="330">
        <f t="shared" si="17"/>
        <v>254825.04967249441</v>
      </c>
      <c r="W44" s="330">
        <f t="shared" si="17"/>
        <v>256180.29793788059</v>
      </c>
      <c r="X44" s="330">
        <f t="shared" si="17"/>
        <v>257547.64857027662</v>
      </c>
      <c r="Y44" s="330">
        <f t="shared" si="17"/>
        <v>258927.20964381998</v>
      </c>
      <c r="Z44" s="330">
        <f t="shared" si="17"/>
        <v>260319.09019775011</v>
      </c>
      <c r="AA44" s="330">
        <f>AA40+AA41+AA42+AA43</f>
        <v>261723.40024502677</v>
      </c>
      <c r="AB44" s="330">
        <f t="shared" si="17"/>
        <v>263140.25078102562</v>
      </c>
      <c r="AC44" s="330">
        <f t="shared" si="17"/>
        <v>264569.75379231101</v>
      </c>
      <c r="AD44" s="330">
        <f t="shared" si="17"/>
        <v>266012.02226548712</v>
      </c>
      <c r="AE44" s="330">
        <f t="shared" si="17"/>
        <v>267467.17019612872</v>
      </c>
      <c r="AF44" s="330">
        <f t="shared" si="17"/>
        <v>165873.78648477717</v>
      </c>
      <c r="AG44" s="330">
        <f t="shared" si="17"/>
        <v>0</v>
      </c>
      <c r="AH44" s="330">
        <f t="shared" si="17"/>
        <v>0</v>
      </c>
      <c r="AI44" s="330">
        <f t="shared" si="17"/>
        <v>0</v>
      </c>
      <c r="AJ44" s="330">
        <f t="shared" si="17"/>
        <v>0</v>
      </c>
      <c r="AK44" s="330">
        <f t="shared" si="17"/>
        <v>0</v>
      </c>
      <c r="AL44" s="330">
        <f t="shared" si="17"/>
        <v>0</v>
      </c>
      <c r="AM44" s="330">
        <f t="shared" si="17"/>
        <v>0</v>
      </c>
      <c r="AN44" s="330">
        <f t="shared" si="17"/>
        <v>0</v>
      </c>
      <c r="AO44" s="330">
        <f t="shared" si="17"/>
        <v>0</v>
      </c>
      <c r="AP44" s="330">
        <f t="shared" si="17"/>
        <v>0</v>
      </c>
      <c r="AQ44" s="330">
        <f t="shared" si="17"/>
        <v>0</v>
      </c>
      <c r="AR44" s="330">
        <f t="shared" si="17"/>
        <v>0</v>
      </c>
      <c r="AS44" s="330">
        <f t="shared" si="17"/>
        <v>0</v>
      </c>
      <c r="AT44" s="330">
        <f t="shared" si="17"/>
        <v>0</v>
      </c>
      <c r="AU44" s="330">
        <f t="shared" si="17"/>
        <v>0</v>
      </c>
    </row>
    <row r="45" spans="4:47" s="215" customFormat="1" x14ac:dyDescent="0.3">
      <c r="D45" s="148"/>
      <c r="E45" s="331" t="s">
        <v>414</v>
      </c>
      <c r="F45" s="343" t="s">
        <v>121</v>
      </c>
      <c r="G45" s="133"/>
      <c r="H45" s="367">
        <f>H24*H33</f>
        <v>428808.00000000006</v>
      </c>
      <c r="I45" s="367">
        <f t="shared" ref="I45:AU45" si="18">I24*I33</f>
        <v>432637.25544000004</v>
      </c>
      <c r="J45" s="367">
        <f t="shared" si="18"/>
        <v>436500.70613107923</v>
      </c>
      <c r="K45" s="367">
        <f t="shared" si="18"/>
        <v>440398.65743682976</v>
      </c>
      <c r="L45" s="367">
        <f t="shared" si="18"/>
        <v>444331.41744774062</v>
      </c>
      <c r="M45" s="367">
        <f t="shared" si="18"/>
        <v>448299.2970055489</v>
      </c>
      <c r="N45" s="367">
        <f t="shared" si="18"/>
        <v>452302.60972780857</v>
      </c>
      <c r="O45" s="367">
        <f t="shared" si="18"/>
        <v>456341.6720326778</v>
      </c>
      <c r="P45" s="367">
        <f t="shared" si="18"/>
        <v>460416.80316392961</v>
      </c>
      <c r="Q45" s="367">
        <f t="shared" si="18"/>
        <v>464528.32521618356</v>
      </c>
      <c r="R45" s="367">
        <f t="shared" si="18"/>
        <v>468676.56316036399</v>
      </c>
      <c r="S45" s="367">
        <f t="shared" si="18"/>
        <v>472861.84486938606</v>
      </c>
      <c r="T45" s="367">
        <f t="shared" si="18"/>
        <v>477084.50114406965</v>
      </c>
      <c r="U45" s="367">
        <f t="shared" si="18"/>
        <v>481344.8657392863</v>
      </c>
      <c r="V45" s="367">
        <f t="shared" si="18"/>
        <v>485643.27539033809</v>
      </c>
      <c r="W45" s="367">
        <f t="shared" si="18"/>
        <v>489980.06983957381</v>
      </c>
      <c r="X45" s="367">
        <f t="shared" si="18"/>
        <v>494355.59186324122</v>
      </c>
      <c r="Y45" s="367">
        <f t="shared" si="18"/>
        <v>498770.1872985799</v>
      </c>
      <c r="Z45" s="367">
        <f t="shared" si="18"/>
        <v>503224.20507115632</v>
      </c>
      <c r="AA45" s="367">
        <f t="shared" si="18"/>
        <v>507717.99722244166</v>
      </c>
      <c r="AB45" s="367">
        <f t="shared" si="18"/>
        <v>512251.91893763811</v>
      </c>
      <c r="AC45" s="367">
        <f t="shared" si="18"/>
        <v>516826.32857375115</v>
      </c>
      <c r="AD45" s="367">
        <f t="shared" si="18"/>
        <v>521441.58768791484</v>
      </c>
      <c r="AE45" s="367">
        <f t="shared" si="18"/>
        <v>526098.06106596789</v>
      </c>
      <c r="AF45" s="367">
        <f t="shared" si="18"/>
        <v>663495.14593910868</v>
      </c>
      <c r="AG45" s="367">
        <f t="shared" si="18"/>
        <v>0</v>
      </c>
      <c r="AH45" s="367">
        <f t="shared" si="18"/>
        <v>0</v>
      </c>
      <c r="AI45" s="367">
        <f t="shared" si="18"/>
        <v>0</v>
      </c>
      <c r="AJ45" s="367">
        <f t="shared" si="18"/>
        <v>0</v>
      </c>
      <c r="AK45" s="367">
        <f t="shared" si="18"/>
        <v>0</v>
      </c>
      <c r="AL45" s="367">
        <f t="shared" si="18"/>
        <v>0</v>
      </c>
      <c r="AM45" s="367">
        <f t="shared" si="18"/>
        <v>0</v>
      </c>
      <c r="AN45" s="367">
        <f t="shared" si="18"/>
        <v>0</v>
      </c>
      <c r="AO45" s="367">
        <f t="shared" si="18"/>
        <v>0</v>
      </c>
      <c r="AP45" s="367">
        <f t="shared" si="18"/>
        <v>0</v>
      </c>
      <c r="AQ45" s="367">
        <f t="shared" si="18"/>
        <v>0</v>
      </c>
      <c r="AR45" s="367">
        <f t="shared" si="18"/>
        <v>0</v>
      </c>
      <c r="AS45" s="367">
        <f t="shared" si="18"/>
        <v>0</v>
      </c>
      <c r="AT45" s="367">
        <f t="shared" si="18"/>
        <v>0</v>
      </c>
      <c r="AU45" s="367">
        <f t="shared" si="18"/>
        <v>0</v>
      </c>
    </row>
    <row r="46" spans="4:47" s="215" customFormat="1" x14ac:dyDescent="0.3">
      <c r="D46" s="148"/>
      <c r="E46" s="331" t="s">
        <v>416</v>
      </c>
      <c r="F46" s="343" t="s">
        <v>433</v>
      </c>
      <c r="G46" s="133"/>
      <c r="H46" s="344">
        <f>IFERROR(H44/H24,0)</f>
        <v>9.3983518122824988E-2</v>
      </c>
      <c r="I46" s="344">
        <f t="shared" ref="I46:AU46" si="19">IFERROR(I44/I24,0)</f>
        <v>9.4932587309371846E-2</v>
      </c>
      <c r="J46" s="344">
        <f t="shared" si="19"/>
        <v>9.5893100750624974E-2</v>
      </c>
      <c r="K46" s="344">
        <f t="shared" si="19"/>
        <v>9.6865209406281377E-2</v>
      </c>
      <c r="L46" s="344">
        <f t="shared" si="19"/>
        <v>9.7849066302941823E-2</v>
      </c>
      <c r="M46" s="344">
        <f t="shared" si="19"/>
        <v>9.8844826562813695E-2</v>
      </c>
      <c r="N46" s="344">
        <f t="shared" si="19"/>
        <v>9.9852647432814343E-2</v>
      </c>
      <c r="O46" s="344">
        <f t="shared" si="19"/>
        <v>0.10087268831408108</v>
      </c>
      <c r="P46" s="344">
        <f t="shared" si="19"/>
        <v>0.10190511079189261</v>
      </c>
      <c r="Q46" s="344">
        <f t="shared" si="19"/>
        <v>0.10295007866600864</v>
      </c>
      <c r="R46" s="344">
        <f t="shared" si="19"/>
        <v>0.10400775798143279</v>
      </c>
      <c r="S46" s="344">
        <f t="shared" si="19"/>
        <v>0.10507831705960506</v>
      </c>
      <c r="T46" s="344">
        <f t="shared" si="19"/>
        <v>0.10616192653002968</v>
      </c>
      <c r="U46" s="344">
        <f t="shared" si="19"/>
        <v>0.1072587593623447</v>
      </c>
      <c r="V46" s="344">
        <f t="shared" si="19"/>
        <v>0.10836899089883928</v>
      </c>
      <c r="W46" s="344">
        <f t="shared" si="19"/>
        <v>0.10949279888742476</v>
      </c>
      <c r="X46" s="344">
        <f t="shared" si="19"/>
        <v>0.11063036351506653</v>
      </c>
      <c r="Y46" s="344">
        <f t="shared" si="19"/>
        <v>0.11178186744168232</v>
      </c>
      <c r="Z46" s="344">
        <f t="shared" si="19"/>
        <v>0.11294749583451395</v>
      </c>
      <c r="AA46" s="344">
        <f t="shared" si="19"/>
        <v>0.11412743640297916</v>
      </c>
      <c r="AB46" s="344">
        <f t="shared" si="19"/>
        <v>0.11532187943400979</v>
      </c>
      <c r="AC46" s="344">
        <f t="shared" si="19"/>
        <v>0.11653101782788389</v>
      </c>
      <c r="AD46" s="344">
        <f t="shared" si="19"/>
        <v>0.1177550471345576</v>
      </c>
      <c r="AE46" s="344">
        <f t="shared" si="19"/>
        <v>0.11899416559050509</v>
      </c>
      <c r="AF46" s="344">
        <f t="shared" si="19"/>
        <v>5.9333483943014409E-2</v>
      </c>
      <c r="AG46" s="344">
        <f t="shared" si="19"/>
        <v>0</v>
      </c>
      <c r="AH46" s="344">
        <f t="shared" si="19"/>
        <v>0</v>
      </c>
      <c r="AI46" s="344">
        <f t="shared" si="19"/>
        <v>0</v>
      </c>
      <c r="AJ46" s="344">
        <f t="shared" si="19"/>
        <v>0</v>
      </c>
      <c r="AK46" s="344">
        <f t="shared" si="19"/>
        <v>0</v>
      </c>
      <c r="AL46" s="344">
        <f t="shared" si="19"/>
        <v>0</v>
      </c>
      <c r="AM46" s="344">
        <f t="shared" si="19"/>
        <v>0</v>
      </c>
      <c r="AN46" s="344">
        <f t="shared" si="19"/>
        <v>0</v>
      </c>
      <c r="AO46" s="344">
        <f t="shared" si="19"/>
        <v>0</v>
      </c>
      <c r="AP46" s="344">
        <f t="shared" si="19"/>
        <v>0</v>
      </c>
      <c r="AQ46" s="344">
        <f t="shared" si="19"/>
        <v>0</v>
      </c>
      <c r="AR46" s="344">
        <f t="shared" si="19"/>
        <v>0</v>
      </c>
      <c r="AS46" s="344">
        <f t="shared" si="19"/>
        <v>0</v>
      </c>
      <c r="AT46" s="344">
        <f t="shared" si="19"/>
        <v>0</v>
      </c>
      <c r="AU46" s="344">
        <f t="shared" si="19"/>
        <v>0</v>
      </c>
    </row>
    <row r="47" spans="4:47" s="407" customFormat="1" x14ac:dyDescent="0.3">
      <c r="D47" s="411"/>
      <c r="E47" s="351" t="s">
        <v>418</v>
      </c>
      <c r="F47" s="361" t="s">
        <v>108</v>
      </c>
      <c r="G47" s="412"/>
      <c r="H47" s="413">
        <f>H46/H33</f>
        <v>0.55284422425191171</v>
      </c>
      <c r="I47" s="413">
        <f t="shared" ref="I47:AU47" si="20">I46/I33</f>
        <v>0.55071694691595219</v>
      </c>
      <c r="J47" s="413">
        <f t="shared" si="20"/>
        <v>0.54860849802855727</v>
      </c>
      <c r="K47" s="413">
        <f t="shared" si="20"/>
        <v>0.54651871093986426</v>
      </c>
      <c r="L47" s="413">
        <f t="shared" si="20"/>
        <v>0.54444742047502226</v>
      </c>
      <c r="M47" s="413">
        <f t="shared" si="20"/>
        <v>0.54239446292113658</v>
      </c>
      <c r="N47" s="413">
        <f t="shared" si="20"/>
        <v>0.54035967601432855</v>
      </c>
      <c r="O47" s="413">
        <f t="shared" si="20"/>
        <v>0.53834289892691134</v>
      </c>
      <c r="P47" s="413">
        <f t="shared" si="20"/>
        <v>0.53634397225467711</v>
      </c>
      <c r="Q47" s="413">
        <f t="shared" si="20"/>
        <v>0.53436273800429857</v>
      </c>
      <c r="R47" s="413">
        <f t="shared" si="20"/>
        <v>0.53239903958084167</v>
      </c>
      <c r="S47" s="413">
        <f t="shared" si="20"/>
        <v>0.5304527217753876</v>
      </c>
      <c r="T47" s="413">
        <f t="shared" si="20"/>
        <v>0.52852363075276532</v>
      </c>
      <c r="U47" s="413">
        <f t="shared" si="20"/>
        <v>0.52661161403939349</v>
      </c>
      <c r="V47" s="413">
        <f t="shared" si="20"/>
        <v>0.5247165205112283</v>
      </c>
      <c r="W47" s="413">
        <f t="shared" si="20"/>
        <v>0.52283820038181861</v>
      </c>
      <c r="X47" s="413">
        <f t="shared" si="20"/>
        <v>0.52097650519046768</v>
      </c>
      <c r="Y47" s="413">
        <f t="shared" si="20"/>
        <v>0.51913128779049866</v>
      </c>
      <c r="Z47" s="413">
        <f t="shared" si="20"/>
        <v>0.51730240233762359</v>
      </c>
      <c r="AA47" s="413">
        <f>AA46/AA33</f>
        <v>0.51548970427841734</v>
      </c>
      <c r="AB47" s="413">
        <f t="shared" si="20"/>
        <v>0.5136930503388909</v>
      </c>
      <c r="AC47" s="413">
        <f t="shared" si="20"/>
        <v>0.51191229851316844</v>
      </c>
      <c r="AD47" s="413">
        <f t="shared" si="20"/>
        <v>0.51014730805226172</v>
      </c>
      <c r="AE47" s="413">
        <f t="shared" si="20"/>
        <v>0.50839793945294698</v>
      </c>
      <c r="AF47" s="413">
        <f t="shared" si="20"/>
        <v>0.25</v>
      </c>
      <c r="AG47" s="413">
        <f t="shared" si="20"/>
        <v>0</v>
      </c>
      <c r="AH47" s="413">
        <f t="shared" si="20"/>
        <v>0</v>
      </c>
      <c r="AI47" s="413">
        <f t="shared" si="20"/>
        <v>0</v>
      </c>
      <c r="AJ47" s="413">
        <f t="shared" si="20"/>
        <v>0</v>
      </c>
      <c r="AK47" s="413">
        <f t="shared" si="20"/>
        <v>0</v>
      </c>
      <c r="AL47" s="413">
        <f t="shared" si="20"/>
        <v>0</v>
      </c>
      <c r="AM47" s="413">
        <f t="shared" si="20"/>
        <v>0</v>
      </c>
      <c r="AN47" s="413">
        <f t="shared" si="20"/>
        <v>0</v>
      </c>
      <c r="AO47" s="413">
        <f t="shared" si="20"/>
        <v>0</v>
      </c>
      <c r="AP47" s="413">
        <f t="shared" si="20"/>
        <v>0</v>
      </c>
      <c r="AQ47" s="413">
        <f t="shared" si="20"/>
        <v>0</v>
      </c>
      <c r="AR47" s="413">
        <f t="shared" si="20"/>
        <v>0</v>
      </c>
      <c r="AS47" s="413">
        <f t="shared" si="20"/>
        <v>0</v>
      </c>
      <c r="AT47" s="413">
        <f t="shared" si="20"/>
        <v>0</v>
      </c>
      <c r="AU47" s="413">
        <f t="shared" si="20"/>
        <v>0</v>
      </c>
    </row>
    <row r="48" spans="4:47" s="215" customFormat="1" x14ac:dyDescent="0.3">
      <c r="D48" s="148"/>
      <c r="E48" s="329" t="s">
        <v>412</v>
      </c>
      <c r="F48" s="343"/>
      <c r="G48" s="133"/>
      <c r="H48" s="330"/>
      <c r="I48" s="330"/>
      <c r="J48" s="330"/>
      <c r="K48" s="330"/>
      <c r="L48" s="330"/>
      <c r="M48" s="330"/>
      <c r="N48" s="330"/>
      <c r="O48" s="330"/>
      <c r="P48" s="330"/>
      <c r="Q48" s="330"/>
      <c r="R48" s="330"/>
      <c r="S48" s="330"/>
      <c r="T48" s="330"/>
      <c r="U48" s="330"/>
      <c r="V48" s="330"/>
      <c r="W48" s="330"/>
      <c r="X48" s="330"/>
      <c r="Y48" s="330"/>
      <c r="Z48" s="330"/>
      <c r="AA48" s="330"/>
      <c r="AB48" s="330"/>
      <c r="AC48" s="330"/>
      <c r="AD48" s="330"/>
      <c r="AE48" s="330"/>
      <c r="AF48" s="330"/>
      <c r="AG48" s="330"/>
      <c r="AH48" s="330"/>
      <c r="AI48" s="330"/>
      <c r="AJ48" s="330"/>
      <c r="AK48" s="330"/>
      <c r="AL48" s="330"/>
      <c r="AM48" s="330"/>
      <c r="AN48" s="330"/>
      <c r="AO48" s="330"/>
      <c r="AP48" s="330"/>
      <c r="AQ48" s="330"/>
      <c r="AR48" s="330"/>
      <c r="AS48" s="330"/>
      <c r="AT48" s="330"/>
      <c r="AU48" s="330"/>
    </row>
    <row r="49" spans="4:47" s="215" customFormat="1" ht="3.6" customHeight="1" x14ac:dyDescent="0.3">
      <c r="D49" s="148"/>
      <c r="E49" s="331"/>
      <c r="F49" s="343"/>
      <c r="G49" s="133"/>
      <c r="H49" s="330"/>
      <c r="I49" s="330"/>
      <c r="J49" s="330"/>
      <c r="K49" s="330"/>
      <c r="L49" s="330"/>
      <c r="M49" s="330"/>
      <c r="N49" s="330"/>
      <c r="O49" s="330"/>
      <c r="P49" s="330"/>
      <c r="Q49" s="330"/>
      <c r="R49" s="330"/>
      <c r="S49" s="330"/>
      <c r="T49" s="330"/>
      <c r="U49" s="330"/>
      <c r="V49" s="330"/>
      <c r="W49" s="330"/>
      <c r="X49" s="330"/>
      <c r="Y49" s="330"/>
      <c r="Z49" s="330"/>
      <c r="AA49" s="330"/>
      <c r="AB49" s="330"/>
      <c r="AC49" s="330"/>
      <c r="AD49" s="330"/>
      <c r="AE49" s="330"/>
      <c r="AF49" s="330"/>
      <c r="AG49" s="330"/>
      <c r="AH49" s="330"/>
      <c r="AI49" s="330"/>
      <c r="AJ49" s="330"/>
      <c r="AK49" s="330"/>
      <c r="AL49" s="330"/>
      <c r="AM49" s="330"/>
      <c r="AN49" s="330"/>
      <c r="AO49" s="330"/>
      <c r="AP49" s="330"/>
      <c r="AQ49" s="330"/>
      <c r="AR49" s="330"/>
      <c r="AS49" s="330"/>
      <c r="AT49" s="330"/>
      <c r="AU49" s="330"/>
    </row>
    <row r="50" spans="4:47" x14ac:dyDescent="0.3">
      <c r="D50" s="79">
        <f>H50/12/'1. Site details'!D3</f>
        <v>33.922002176084476</v>
      </c>
      <c r="E50" s="331" t="s">
        <v>410</v>
      </c>
      <c r="F50" s="343" t="s">
        <v>121</v>
      </c>
      <c r="G50" s="330"/>
      <c r="H50" s="330">
        <f t="shared" ref="H50:AU50" si="21">(H40+H41+H42+(H28-H23)*H33)+H43</f>
        <v>407064.02611301374</v>
      </c>
      <c r="I50" s="330">
        <f t="shared" si="21"/>
        <v>413358.2391380138</v>
      </c>
      <c r="J50" s="330">
        <f t="shared" si="21"/>
        <v>419758.772075127</v>
      </c>
      <c r="K50" s="330">
        <f t="shared" si="21"/>
        <v>426267.2759374259</v>
      </c>
      <c r="L50" s="330">
        <f t="shared" si="21"/>
        <v>432885.42630359705</v>
      </c>
      <c r="M50" s="330">
        <f t="shared" si="21"/>
        <v>439614.9236748215</v>
      </c>
      <c r="N50" s="330">
        <f t="shared" si="21"/>
        <v>446457.49383676623</v>
      </c>
      <c r="O50" s="330">
        <f t="shared" si="21"/>
        <v>453414.88822676125</v>
      </c>
      <c r="P50" s="330">
        <f t="shared" si="21"/>
        <v>460488.88430623407</v>
      </c>
      <c r="Q50" s="330">
        <f t="shared" si="21"/>
        <v>467681.28593847773</v>
      </c>
      <c r="R50" s="330">
        <f t="shared" si="21"/>
        <v>474993.92377182748</v>
      </c>
      <c r="S50" s="330">
        <f t="shared" si="21"/>
        <v>482428.65562832239</v>
      </c>
      <c r="T50" s="330">
        <f t="shared" si="21"/>
        <v>489987.36689793156</v>
      </c>
      <c r="U50" s="330">
        <f t="shared" si="21"/>
        <v>497671.97093842085</v>
      </c>
      <c r="V50" s="330">
        <f t="shared" si="21"/>
        <v>505484.40948094358</v>
      </c>
      <c r="W50" s="330">
        <f t="shared" si="21"/>
        <v>513426.65304143436</v>
      </c>
      <c r="X50" s="330">
        <f t="shared" si="21"/>
        <v>521500.70133788849</v>
      </c>
      <c r="Y50" s="330">
        <f t="shared" si="21"/>
        <v>529708.5837136117</v>
      </c>
      <c r="Z50" s="330">
        <f t="shared" si="21"/>
        <v>538052.35956652358</v>
      </c>
      <c r="AA50" s="330">
        <f t="shared" si="21"/>
        <v>546534.11878460168</v>
      </c>
      <c r="AB50" s="330">
        <f t="shared" si="21"/>
        <v>555155.98218755168</v>
      </c>
      <c r="AC50" s="330">
        <f t="shared" si="21"/>
        <v>563920.10197479569</v>
      </c>
      <c r="AD50" s="330">
        <f t="shared" si="21"/>
        <v>572828.66217986273</v>
      </c>
      <c r="AE50" s="330">
        <f t="shared" si="21"/>
        <v>581883.87913127779</v>
      </c>
      <c r="AF50" s="330">
        <f t="shared" si="21"/>
        <v>488026.47580702387</v>
      </c>
      <c r="AG50" s="330">
        <f t="shared" si="21"/>
        <v>0</v>
      </c>
      <c r="AH50" s="330">
        <f t="shared" si="21"/>
        <v>0</v>
      </c>
      <c r="AI50" s="330">
        <f t="shared" si="21"/>
        <v>0</v>
      </c>
      <c r="AJ50" s="330">
        <f t="shared" si="21"/>
        <v>0</v>
      </c>
      <c r="AK50" s="330">
        <f t="shared" si="21"/>
        <v>0</v>
      </c>
      <c r="AL50" s="330">
        <f t="shared" si="21"/>
        <v>0</v>
      </c>
      <c r="AM50" s="330">
        <f t="shared" si="21"/>
        <v>0</v>
      </c>
      <c r="AN50" s="330">
        <f t="shared" si="21"/>
        <v>0</v>
      </c>
      <c r="AO50" s="330">
        <f t="shared" si="21"/>
        <v>0</v>
      </c>
      <c r="AP50" s="330">
        <f t="shared" si="21"/>
        <v>0</v>
      </c>
      <c r="AQ50" s="330">
        <f t="shared" si="21"/>
        <v>0</v>
      </c>
      <c r="AR50" s="330">
        <f t="shared" si="21"/>
        <v>0</v>
      </c>
      <c r="AS50" s="330">
        <f t="shared" si="21"/>
        <v>0</v>
      </c>
      <c r="AT50" s="330">
        <f t="shared" si="21"/>
        <v>0</v>
      </c>
      <c r="AU50" s="330">
        <f t="shared" si="21"/>
        <v>0</v>
      </c>
    </row>
    <row r="51" spans="4:47" x14ac:dyDescent="0.3">
      <c r="D51" s="79">
        <f>H51/12/'1. Site details'!D3</f>
        <v>24.912164490582189</v>
      </c>
      <c r="E51" s="331" t="s">
        <v>192</v>
      </c>
      <c r="F51" s="343" t="s">
        <v>121</v>
      </c>
      <c r="G51" s="330"/>
      <c r="H51" s="330">
        <f t="shared" ref="H51:AU51" si="22">H34-H50</f>
        <v>298945.97388698626</v>
      </c>
      <c r="I51" s="330">
        <f t="shared" si="22"/>
        <v>302535.90086198621</v>
      </c>
      <c r="J51" s="330">
        <f t="shared" si="22"/>
        <v>306157.88588487299</v>
      </c>
      <c r="K51" s="330">
        <f t="shared" si="22"/>
        <v>309812.21523401409</v>
      </c>
      <c r="L51" s="330">
        <f t="shared" si="22"/>
        <v>313499.17774424306</v>
      </c>
      <c r="M51" s="330">
        <f t="shared" si="22"/>
        <v>317219.06482968829</v>
      </c>
      <c r="N51" s="330">
        <f t="shared" si="22"/>
        <v>320972.17050680669</v>
      </c>
      <c r="O51" s="330">
        <f t="shared" si="22"/>
        <v>324758.79141762177</v>
      </c>
      <c r="P51" s="330">
        <f t="shared" si="22"/>
        <v>328579.22685317032</v>
      </c>
      <c r="Q51" s="330">
        <f t="shared" si="22"/>
        <v>332433.77877715835</v>
      </c>
      <c r="R51" s="330">
        <f t="shared" si="22"/>
        <v>336322.75184982747</v>
      </c>
      <c r="S51" s="330">
        <f t="shared" si="22"/>
        <v>340246.45345203578</v>
      </c>
      <c r="T51" s="330">
        <f t="shared" si="22"/>
        <v>344205.19370955159</v>
      </c>
      <c r="U51" s="330">
        <f t="shared" si="22"/>
        <v>348199.28551756707</v>
      </c>
      <c r="V51" s="330">
        <f t="shared" si="22"/>
        <v>352229.04456542816</v>
      </c>
      <c r="W51" s="330">
        <f t="shared" si="22"/>
        <v>356294.78936158668</v>
      </c>
      <c r="X51" s="330">
        <f t="shared" si="22"/>
        <v>360396.84125877486</v>
      </c>
      <c r="Y51" s="330">
        <f t="shared" si="22"/>
        <v>364535.52447940491</v>
      </c>
      <c r="Z51" s="330">
        <f t="shared" si="22"/>
        <v>368711.16614119522</v>
      </c>
      <c r="AA51" s="330">
        <f t="shared" si="22"/>
        <v>372924.09628302522</v>
      </c>
      <c r="AB51" s="330">
        <f t="shared" si="22"/>
        <v>377174.64789102192</v>
      </c>
      <c r="AC51" s="330">
        <f t="shared" si="22"/>
        <v>381463.15692487801</v>
      </c>
      <c r="AD51" s="330">
        <f t="shared" si="22"/>
        <v>385789.96234440641</v>
      </c>
      <c r="AE51" s="330">
        <f t="shared" si="22"/>
        <v>390155.40613633103</v>
      </c>
      <c r="AF51" s="330">
        <f t="shared" si="22"/>
        <v>497621.35945433151</v>
      </c>
      <c r="AG51" s="330">
        <f t="shared" si="22"/>
        <v>0</v>
      </c>
      <c r="AH51" s="330">
        <f t="shared" si="22"/>
        <v>0</v>
      </c>
      <c r="AI51" s="330">
        <f t="shared" si="22"/>
        <v>0</v>
      </c>
      <c r="AJ51" s="330">
        <f t="shared" si="22"/>
        <v>0</v>
      </c>
      <c r="AK51" s="330">
        <f t="shared" si="22"/>
        <v>0</v>
      </c>
      <c r="AL51" s="330">
        <f t="shared" si="22"/>
        <v>0</v>
      </c>
      <c r="AM51" s="330">
        <f t="shared" si="22"/>
        <v>0</v>
      </c>
      <c r="AN51" s="330">
        <f t="shared" si="22"/>
        <v>0</v>
      </c>
      <c r="AO51" s="330">
        <f t="shared" si="22"/>
        <v>0</v>
      </c>
      <c r="AP51" s="330">
        <f t="shared" si="22"/>
        <v>0</v>
      </c>
      <c r="AQ51" s="330">
        <f t="shared" si="22"/>
        <v>0</v>
      </c>
      <c r="AR51" s="330">
        <f t="shared" si="22"/>
        <v>0</v>
      </c>
      <c r="AS51" s="330">
        <f t="shared" si="22"/>
        <v>0</v>
      </c>
      <c r="AT51" s="330">
        <f t="shared" si="22"/>
        <v>0</v>
      </c>
      <c r="AU51" s="330">
        <f t="shared" si="22"/>
        <v>0</v>
      </c>
    </row>
    <row r="52" spans="4:47" x14ac:dyDescent="0.3">
      <c r="D52" s="72">
        <f>D51/D34</f>
        <v>0.42343022604068825</v>
      </c>
      <c r="E52" s="331" t="s">
        <v>390</v>
      </c>
      <c r="F52" s="343" t="s">
        <v>108</v>
      </c>
      <c r="G52" s="342"/>
      <c r="H52" s="342">
        <f t="shared" ref="H52:AU52" si="23">IFERROR(H51/H34,0)</f>
        <v>0.4234302260406882</v>
      </c>
      <c r="I52" s="342">
        <f t="shared" si="23"/>
        <v>0.42259865524529394</v>
      </c>
      <c r="J52" s="342">
        <f t="shared" si="23"/>
        <v>0.42175349267400769</v>
      </c>
      <c r="K52" s="342">
        <f t="shared" si="23"/>
        <v>0.42089505134963179</v>
      </c>
      <c r="L52" s="342">
        <f t="shared" si="23"/>
        <v>0.42002363934632964</v>
      </c>
      <c r="M52" s="342">
        <f t="shared" si="23"/>
        <v>0.41913955986108314</v>
      </c>
      <c r="N52" s="342">
        <f t="shared" si="23"/>
        <v>0.41824311128414982</v>
      </c>
      <c r="O52" s="342">
        <f t="shared" si="23"/>
        <v>0.41733458726852984</v>
      </c>
      <c r="P52" s="342">
        <f t="shared" si="23"/>
        <v>0.4164142767984601</v>
      </c>
      <c r="Q52" s="342">
        <f t="shared" si="23"/>
        <v>0.41548246425694607</v>
      </c>
      <c r="R52" s="342">
        <f t="shared" si="23"/>
        <v>0.41453942949234585</v>
      </c>
      <c r="S52" s="342">
        <f t="shared" si="23"/>
        <v>0.41358544788402102</v>
      </c>
      <c r="T52" s="342">
        <f t="shared" si="23"/>
        <v>0.41262079040706312</v>
      </c>
      <c r="U52" s="342">
        <f t="shared" si="23"/>
        <v>0.4116457236961148</v>
      </c>
      <c r="V52" s="342">
        <f t="shared" si="23"/>
        <v>0.41066051010829208</v>
      </c>
      <c r="W52" s="342">
        <f t="shared" si="23"/>
        <v>0.40966540778522381</v>
      </c>
      <c r="X52" s="342">
        <f t="shared" si="23"/>
        <v>0.40866067071422002</v>
      </c>
      <c r="Y52" s="342">
        <f t="shared" si="23"/>
        <v>0.40764654878858014</v>
      </c>
      <c r="Z52" s="342">
        <f t="shared" si="23"/>
        <v>0.40662328786705471</v>
      </c>
      <c r="AA52" s="342">
        <f t="shared" si="23"/>
        <v>0.40559112983247025</v>
      </c>
      <c r="AB52" s="342">
        <f t="shared" si="23"/>
        <v>0.40455031264953178</v>
      </c>
      <c r="AC52" s="342">
        <f t="shared" si="23"/>
        <v>0.40350107042181055</v>
      </c>
      <c r="AD52" s="342">
        <f t="shared" si="23"/>
        <v>0.40244363344793271</v>
      </c>
      <c r="AE52" s="342">
        <f t="shared" si="23"/>
        <v>0.40137822827697617</v>
      </c>
      <c r="AF52" s="342">
        <f t="shared" si="23"/>
        <v>0.50486729808763975</v>
      </c>
      <c r="AG52" s="342">
        <f>IFERROR(AG51/AG34,0)</f>
        <v>0</v>
      </c>
      <c r="AH52" s="342">
        <f t="shared" si="23"/>
        <v>0</v>
      </c>
      <c r="AI52" s="342">
        <f t="shared" si="23"/>
        <v>0</v>
      </c>
      <c r="AJ52" s="342">
        <f t="shared" si="23"/>
        <v>0</v>
      </c>
      <c r="AK52" s="342">
        <f t="shared" si="23"/>
        <v>0</v>
      </c>
      <c r="AL52" s="342">
        <f t="shared" si="23"/>
        <v>0</v>
      </c>
      <c r="AM52" s="342">
        <f t="shared" si="23"/>
        <v>0</v>
      </c>
      <c r="AN52" s="342">
        <f t="shared" si="23"/>
        <v>0</v>
      </c>
      <c r="AO52" s="342">
        <f t="shared" si="23"/>
        <v>0</v>
      </c>
      <c r="AP52" s="342">
        <f t="shared" si="23"/>
        <v>0</v>
      </c>
      <c r="AQ52" s="342">
        <f t="shared" si="23"/>
        <v>0</v>
      </c>
      <c r="AR52" s="342">
        <f t="shared" si="23"/>
        <v>0</v>
      </c>
      <c r="AS52" s="342">
        <f t="shared" si="23"/>
        <v>0</v>
      </c>
      <c r="AT52" s="342">
        <f t="shared" si="23"/>
        <v>0</v>
      </c>
      <c r="AU52" s="342">
        <f t="shared" si="23"/>
        <v>0</v>
      </c>
    </row>
    <row r="53" spans="4:47" s="69" customFormat="1" ht="3" customHeight="1" x14ac:dyDescent="0.3">
      <c r="E53" s="331"/>
      <c r="F53" s="343"/>
      <c r="G53" s="330"/>
      <c r="H53" s="330"/>
      <c r="I53" s="330"/>
      <c r="J53" s="330"/>
      <c r="K53" s="330"/>
      <c r="L53" s="330"/>
      <c r="M53" s="330"/>
      <c r="N53" s="330"/>
      <c r="O53" s="330"/>
      <c r="P53" s="330"/>
      <c r="Q53" s="330"/>
      <c r="R53" s="330"/>
      <c r="S53" s="330"/>
      <c r="T53" s="330"/>
      <c r="U53" s="330"/>
      <c r="V53" s="330"/>
      <c r="W53" s="330"/>
      <c r="X53" s="330"/>
      <c r="Y53" s="330"/>
      <c r="Z53" s="330"/>
      <c r="AA53" s="330"/>
      <c r="AB53" s="330"/>
      <c r="AC53" s="330"/>
      <c r="AD53" s="330"/>
      <c r="AE53" s="330"/>
      <c r="AF53" s="330"/>
      <c r="AG53" s="330"/>
      <c r="AH53" s="330"/>
      <c r="AI53" s="330"/>
      <c r="AJ53" s="330"/>
      <c r="AK53" s="330"/>
      <c r="AL53" s="330"/>
      <c r="AM53" s="330"/>
      <c r="AN53" s="330"/>
      <c r="AO53" s="330"/>
      <c r="AP53" s="330"/>
      <c r="AQ53" s="330"/>
      <c r="AR53" s="330"/>
      <c r="AS53" s="330"/>
      <c r="AT53" s="330"/>
      <c r="AU53" s="330"/>
    </row>
    <row r="54" spans="4:47" x14ac:dyDescent="0.3">
      <c r="D54" s="69"/>
      <c r="E54" s="329" t="s">
        <v>388</v>
      </c>
      <c r="F54" s="343"/>
      <c r="G54" s="330"/>
      <c r="H54" s="330"/>
      <c r="I54" s="330"/>
      <c r="J54" s="330"/>
      <c r="K54" s="330"/>
      <c r="L54" s="330"/>
      <c r="M54" s="330"/>
      <c r="N54" s="330"/>
      <c r="O54" s="330"/>
      <c r="P54" s="330"/>
      <c r="Q54" s="330"/>
      <c r="R54" s="330"/>
      <c r="S54" s="330"/>
      <c r="T54" s="330"/>
      <c r="U54" s="330"/>
      <c r="V54" s="330"/>
      <c r="W54" s="330"/>
      <c r="X54" s="330"/>
      <c r="Y54" s="330"/>
      <c r="Z54" s="330"/>
      <c r="AA54" s="330"/>
      <c r="AB54" s="330"/>
      <c r="AC54" s="330"/>
      <c r="AD54" s="330"/>
      <c r="AE54" s="330"/>
      <c r="AF54" s="330"/>
      <c r="AG54" s="330"/>
      <c r="AH54" s="330"/>
      <c r="AI54" s="330"/>
      <c r="AJ54" s="330"/>
      <c r="AK54" s="330"/>
      <c r="AL54" s="330"/>
      <c r="AM54" s="330"/>
      <c r="AN54" s="330"/>
      <c r="AO54" s="330"/>
      <c r="AP54" s="330"/>
      <c r="AQ54" s="330"/>
      <c r="AR54" s="330"/>
      <c r="AS54" s="330"/>
      <c r="AT54" s="330"/>
      <c r="AU54" s="330"/>
    </row>
    <row r="55" spans="4:47" s="69" customFormat="1" x14ac:dyDescent="0.3">
      <c r="E55" s="331" t="s">
        <v>417</v>
      </c>
      <c r="F55" s="343" t="s">
        <v>108</v>
      </c>
      <c r="G55" s="342"/>
      <c r="H55" s="295">
        <f>1-H52</f>
        <v>0.57656977395931186</v>
      </c>
      <c r="I55" s="342">
        <f t="shared" ref="I55:AK55" si="24">1-I52</f>
        <v>0.57740134475470606</v>
      </c>
      <c r="J55" s="342">
        <f t="shared" si="24"/>
        <v>0.57824650732599236</v>
      </c>
      <c r="K55" s="342">
        <f t="shared" si="24"/>
        <v>0.57910494865036821</v>
      </c>
      <c r="L55" s="342">
        <f t="shared" si="24"/>
        <v>0.57997636065367031</v>
      </c>
      <c r="M55" s="342">
        <f t="shared" si="24"/>
        <v>0.5808604401389168</v>
      </c>
      <c r="N55" s="342">
        <f t="shared" si="24"/>
        <v>0.58175688871585018</v>
      </c>
      <c r="O55" s="342">
        <f t="shared" si="24"/>
        <v>0.5826654127314701</v>
      </c>
      <c r="P55" s="342">
        <f t="shared" si="24"/>
        <v>0.5835857232015399</v>
      </c>
      <c r="Q55" s="342">
        <f t="shared" si="24"/>
        <v>0.58451753574305387</v>
      </c>
      <c r="R55" s="342">
        <f t="shared" si="24"/>
        <v>0.5854605705076541</v>
      </c>
      <c r="S55" s="342">
        <f t="shared" si="24"/>
        <v>0.58641455211597893</v>
      </c>
      <c r="T55" s="342">
        <f t="shared" si="24"/>
        <v>0.58737920959293688</v>
      </c>
      <c r="U55" s="342">
        <f t="shared" si="24"/>
        <v>0.58835427630388515</v>
      </c>
      <c r="V55" s="342">
        <f t="shared" si="24"/>
        <v>0.58933948989170792</v>
      </c>
      <c r="W55" s="342">
        <f t="shared" si="24"/>
        <v>0.59033459221477624</v>
      </c>
      <c r="X55" s="342">
        <f t="shared" si="24"/>
        <v>0.59133932928578004</v>
      </c>
      <c r="Y55" s="342">
        <f t="shared" si="24"/>
        <v>0.59235345121141991</v>
      </c>
      <c r="Z55" s="342">
        <f t="shared" si="24"/>
        <v>0.59337671213294529</v>
      </c>
      <c r="AA55" s="342">
        <f t="shared" si="24"/>
        <v>0.59440887016752975</v>
      </c>
      <c r="AB55" s="342">
        <f t="shared" si="24"/>
        <v>0.59544968735046822</v>
      </c>
      <c r="AC55" s="342">
        <f t="shared" si="24"/>
        <v>0.59649892957818951</v>
      </c>
      <c r="AD55" s="342">
        <f t="shared" si="24"/>
        <v>0.59755636655206734</v>
      </c>
      <c r="AE55" s="342">
        <f t="shared" si="24"/>
        <v>0.59862177172302378</v>
      </c>
      <c r="AF55" s="342">
        <f t="shared" si="24"/>
        <v>0.49513270191236025</v>
      </c>
      <c r="AG55" s="342">
        <f>1-AG52</f>
        <v>1</v>
      </c>
      <c r="AH55" s="342">
        <f t="shared" si="24"/>
        <v>1</v>
      </c>
      <c r="AI55" s="342">
        <f t="shared" si="24"/>
        <v>1</v>
      </c>
      <c r="AJ55" s="342">
        <f t="shared" si="24"/>
        <v>1</v>
      </c>
      <c r="AK55" s="342">
        <f t="shared" si="24"/>
        <v>1</v>
      </c>
      <c r="AL55" s="342">
        <f t="shared" ref="AL55:AU55" si="25">1-AL36</f>
        <v>1</v>
      </c>
      <c r="AM55" s="342">
        <f t="shared" si="25"/>
        <v>1</v>
      </c>
      <c r="AN55" s="342">
        <f t="shared" si="25"/>
        <v>1</v>
      </c>
      <c r="AO55" s="342">
        <f t="shared" si="25"/>
        <v>1</v>
      </c>
      <c r="AP55" s="342">
        <f t="shared" si="25"/>
        <v>1</v>
      </c>
      <c r="AQ55" s="342">
        <f t="shared" si="25"/>
        <v>1</v>
      </c>
      <c r="AR55" s="342">
        <f t="shared" si="25"/>
        <v>1</v>
      </c>
      <c r="AS55" s="342">
        <f t="shared" si="25"/>
        <v>1</v>
      </c>
      <c r="AT55" s="342">
        <f t="shared" si="25"/>
        <v>1</v>
      </c>
      <c r="AU55" s="342">
        <f t="shared" si="25"/>
        <v>1</v>
      </c>
    </row>
    <row r="56" spans="4:47" s="69" customFormat="1" x14ac:dyDescent="0.3">
      <c r="E56" s="331" t="s">
        <v>389</v>
      </c>
      <c r="F56" s="343" t="s">
        <v>433</v>
      </c>
      <c r="G56" s="344"/>
      <c r="H56" s="368">
        <f t="shared" ref="H56:AU56" si="26">H33*H55</f>
        <v>9.8016861573083022E-2</v>
      </c>
      <c r="I56" s="344">
        <f t="shared" si="26"/>
        <v>9.9532443808816234E-2</v>
      </c>
      <c r="J56" s="344">
        <f t="shared" si="26"/>
        <v>0.10107362679391453</v>
      </c>
      <c r="K56" s="344">
        <f t="shared" si="26"/>
        <v>0.10264080807546976</v>
      </c>
      <c r="L56" s="344">
        <f t="shared" si="26"/>
        <v>0.10423439111572286</v>
      </c>
      <c r="M56" s="344">
        <f t="shared" si="26"/>
        <v>0.10585478537799699</v>
      </c>
      <c r="N56" s="344">
        <f t="shared" si="26"/>
        <v>0.10750240641386137</v>
      </c>
      <c r="O56" s="344">
        <f t="shared" si="26"/>
        <v>0.10917767595154375</v>
      </c>
      <c r="P56" s="344">
        <f t="shared" si="26"/>
        <v>0.11088102198560898</v>
      </c>
      <c r="Q56" s="344">
        <f t="shared" si="26"/>
        <v>0.11261287886792143</v>
      </c>
      <c r="R56" s="344">
        <f t="shared" si="26"/>
        <v>0.11437368739991029</v>
      </c>
      <c r="S56" s="344">
        <f t="shared" si="26"/>
        <v>0.11616389492615514</v>
      </c>
      <c r="T56" s="344">
        <f t="shared" si="26"/>
        <v>0.11798395542931171</v>
      </c>
      <c r="U56" s="344">
        <f t="shared" si="26"/>
        <v>0.11983432962639558</v>
      </c>
      <c r="V56" s="344">
        <f t="shared" si="26"/>
        <v>0.1217154850664444</v>
      </c>
      <c r="W56" s="344">
        <f t="shared" si="26"/>
        <v>0.12362789622957727</v>
      </c>
      <c r="X56" s="344">
        <f t="shared" si="26"/>
        <v>0.12557204462747135</v>
      </c>
      <c r="Y56" s="344">
        <f t="shared" si="26"/>
        <v>0.12754841890527613</v>
      </c>
      <c r="Z56" s="344">
        <f t="shared" si="26"/>
        <v>0.12955751494498521</v>
      </c>
      <c r="AA56" s="344">
        <f t="shared" si="26"/>
        <v>0.13159983597028693</v>
      </c>
      <c r="AB56" s="344">
        <f t="shared" si="26"/>
        <v>0.13367589265291396</v>
      </c>
      <c r="AC56" s="344">
        <f t="shared" si="26"/>
        <v>0.13578620322051427</v>
      </c>
      <c r="AD56" s="344">
        <f t="shared" si="26"/>
        <v>0.13793129356606376</v>
      </c>
      <c r="AE56" s="344">
        <f t="shared" si="26"/>
        <v>0.14011169735884366</v>
      </c>
      <c r="AF56" s="344">
        <f t="shared" si="26"/>
        <v>0.11751179287431347</v>
      </c>
      <c r="AG56" s="344">
        <f>AG33*AG55</f>
        <v>0.24065661087286644</v>
      </c>
      <c r="AH56" s="344">
        <f t="shared" si="26"/>
        <v>0.24402580342508656</v>
      </c>
      <c r="AI56" s="344">
        <f t="shared" si="26"/>
        <v>0.24744216467303778</v>
      </c>
      <c r="AJ56" s="344">
        <f t="shared" si="26"/>
        <v>0.25090635497846031</v>
      </c>
      <c r="AK56" s="344">
        <f t="shared" si="26"/>
        <v>0.25441904394815879</v>
      </c>
      <c r="AL56" s="344">
        <f t="shared" si="26"/>
        <v>0.25798091056343303</v>
      </c>
      <c r="AM56" s="344">
        <f t="shared" si="26"/>
        <v>0.26159264331132109</v>
      </c>
      <c r="AN56" s="344">
        <f t="shared" si="26"/>
        <v>0.2652549403176796</v>
      </c>
      <c r="AO56" s="344">
        <f t="shared" si="26"/>
        <v>0.26896850948212714</v>
      </c>
      <c r="AP56" s="344">
        <f t="shared" si="26"/>
        <v>0.27273406861487692</v>
      </c>
      <c r="AQ56" s="344">
        <f t="shared" si="26"/>
        <v>0.27655234557548519</v>
      </c>
      <c r="AR56" s="344">
        <f t="shared" si="26"/>
        <v>0.280424078413542</v>
      </c>
      <c r="AS56" s="344">
        <f t="shared" si="26"/>
        <v>0.2843500155113316</v>
      </c>
      <c r="AT56" s="344">
        <f t="shared" si="26"/>
        <v>0.28833091572849023</v>
      </c>
      <c r="AU56" s="344">
        <f t="shared" si="26"/>
        <v>0.29236754854868913</v>
      </c>
    </row>
    <row r="57" spans="4:47" s="364" customFormat="1" x14ac:dyDescent="0.3">
      <c r="E57" s="351" t="s">
        <v>409</v>
      </c>
      <c r="F57" s="361" t="s">
        <v>121</v>
      </c>
      <c r="G57" s="146"/>
      <c r="H57" s="402">
        <f>IF(H15&lt;=$G$2,H25*H56,0)</f>
        <v>61809.432907986156</v>
      </c>
      <c r="I57" s="402">
        <f t="shared" ref="I57:AU57" si="27">IF(I15&lt;=$G$2,I25*I56,0)</f>
        <v>62451.333270510317</v>
      </c>
      <c r="J57" s="402">
        <f t="shared" si="27"/>
        <v>63101.2521914065</v>
      </c>
      <c r="K57" s="402">
        <f t="shared" si="27"/>
        <v>63759.260475161565</v>
      </c>
      <c r="L57" s="402">
        <f t="shared" si="27"/>
        <v>64425.429603856828</v>
      </c>
      <c r="M57" s="402">
        <f t="shared" si="27"/>
        <v>65099.831743152543</v>
      </c>
      <c r="N57" s="402">
        <f t="shared" si="27"/>
        <v>65782.539748327297</v>
      </c>
      <c r="O57" s="402">
        <f t="shared" si="27"/>
        <v>66473.627170372347</v>
      </c>
      <c r="P57" s="402">
        <f t="shared" si="27"/>
        <v>67173.168262140738</v>
      </c>
      <c r="Q57" s="402">
        <f t="shared" si="27"/>
        <v>67881.237984552849</v>
      </c>
      <c r="R57" s="402">
        <f t="shared" si="27"/>
        <v>68597.912012858302</v>
      </c>
      <c r="S57" s="402">
        <f t="shared" si="27"/>
        <v>69323.266742954147</v>
      </c>
      <c r="T57" s="402">
        <f t="shared" si="27"/>
        <v>70057.379297761057</v>
      </c>
      <c r="U57" s="402">
        <f t="shared" si="27"/>
        <v>70800.32753365711</v>
      </c>
      <c r="V57" s="402">
        <f t="shared" si="27"/>
        <v>71552.190046970005</v>
      </c>
      <c r="W57" s="402">
        <f t="shared" si="27"/>
        <v>72313.046180528108</v>
      </c>
      <c r="X57" s="402">
        <f t="shared" si="27"/>
        <v>73082.976030270918</v>
      </c>
      <c r="Y57" s="402">
        <f t="shared" si="27"/>
        <v>73862.060451920013</v>
      </c>
      <c r="Z57" s="402">
        <f t="shared" si="27"/>
        <v>74650.381067709386</v>
      </c>
      <c r="AA57" s="402">
        <f t="shared" si="27"/>
        <v>75448.020273178103</v>
      </c>
      <c r="AB57" s="402">
        <f t="shared" si="27"/>
        <v>76255.061244023484</v>
      </c>
      <c r="AC57" s="402">
        <f t="shared" si="27"/>
        <v>77071.587943017046</v>
      </c>
      <c r="AD57" s="402">
        <f t="shared" si="27"/>
        <v>77897.685126982891</v>
      </c>
      <c r="AE57" s="402">
        <f t="shared" si="27"/>
        <v>78733.438353839287</v>
      </c>
      <c r="AF57" s="402">
        <f t="shared" si="27"/>
        <v>0</v>
      </c>
      <c r="AG57" s="402">
        <f t="shared" si="27"/>
        <v>0</v>
      </c>
      <c r="AH57" s="402">
        <f t="shared" si="27"/>
        <v>0</v>
      </c>
      <c r="AI57" s="402">
        <f t="shared" si="27"/>
        <v>0</v>
      </c>
      <c r="AJ57" s="402">
        <f t="shared" si="27"/>
        <v>0</v>
      </c>
      <c r="AK57" s="402">
        <f t="shared" si="27"/>
        <v>0</v>
      </c>
      <c r="AL57" s="402">
        <f t="shared" si="27"/>
        <v>0</v>
      </c>
      <c r="AM57" s="402">
        <f t="shared" si="27"/>
        <v>0</v>
      </c>
      <c r="AN57" s="402">
        <f t="shared" si="27"/>
        <v>0</v>
      </c>
      <c r="AO57" s="402">
        <f t="shared" si="27"/>
        <v>0</v>
      </c>
      <c r="AP57" s="402">
        <f t="shared" si="27"/>
        <v>0</v>
      </c>
      <c r="AQ57" s="402">
        <f t="shared" si="27"/>
        <v>0</v>
      </c>
      <c r="AR57" s="402">
        <f t="shared" si="27"/>
        <v>0</v>
      </c>
      <c r="AS57" s="402">
        <f t="shared" si="27"/>
        <v>0</v>
      </c>
      <c r="AT57" s="402">
        <f t="shared" si="27"/>
        <v>0</v>
      </c>
      <c r="AU57" s="402">
        <f t="shared" si="27"/>
        <v>0</v>
      </c>
    </row>
    <row r="58" spans="4:47" s="403" customFormat="1" x14ac:dyDescent="0.3">
      <c r="E58" s="404" t="s">
        <v>399</v>
      </c>
      <c r="F58" s="372" t="s">
        <v>108</v>
      </c>
      <c r="G58" s="405"/>
      <c r="H58" s="406">
        <f t="shared" ref="H58:AU58" si="28">$D$8*H57</f>
        <v>30904.716453993078</v>
      </c>
      <c r="I58" s="406">
        <f t="shared" si="28"/>
        <v>31225.666635255158</v>
      </c>
      <c r="J58" s="406">
        <f t="shared" si="28"/>
        <v>31550.62609570325</v>
      </c>
      <c r="K58" s="406">
        <f t="shared" si="28"/>
        <v>31879.630237580783</v>
      </c>
      <c r="L58" s="406">
        <f t="shared" si="28"/>
        <v>32212.714801928414</v>
      </c>
      <c r="M58" s="406">
        <f t="shared" si="28"/>
        <v>32549.915871576271</v>
      </c>
      <c r="N58" s="406">
        <f t="shared" si="28"/>
        <v>32891.269874163649</v>
      </c>
      <c r="O58" s="406">
        <f t="shared" si="28"/>
        <v>33236.813585186173</v>
      </c>
      <c r="P58" s="406">
        <f t="shared" si="28"/>
        <v>33586.584131070369</v>
      </c>
      <c r="Q58" s="406">
        <f t="shared" si="28"/>
        <v>33940.618992276424</v>
      </c>
      <c r="R58" s="406">
        <f t="shared" si="28"/>
        <v>34298.956006429151</v>
      </c>
      <c r="S58" s="406">
        <f t="shared" si="28"/>
        <v>34661.633371477074</v>
      </c>
      <c r="T58" s="406">
        <f t="shared" si="28"/>
        <v>35028.689648880529</v>
      </c>
      <c r="U58" s="406">
        <f t="shared" si="28"/>
        <v>35400.163766828555</v>
      </c>
      <c r="V58" s="406">
        <f t="shared" si="28"/>
        <v>35776.095023485002</v>
      </c>
      <c r="W58" s="406">
        <f t="shared" si="28"/>
        <v>36156.523090264054</v>
      </c>
      <c r="X58" s="406">
        <f t="shared" si="28"/>
        <v>36541.488015135459</v>
      </c>
      <c r="Y58" s="406">
        <f t="shared" si="28"/>
        <v>36931.030225960007</v>
      </c>
      <c r="Z58" s="406">
        <f t="shared" si="28"/>
        <v>37325.190533854693</v>
      </c>
      <c r="AA58" s="406">
        <f t="shared" si="28"/>
        <v>37724.010136589051</v>
      </c>
      <c r="AB58" s="406">
        <f t="shared" si="28"/>
        <v>38127.530622011742</v>
      </c>
      <c r="AC58" s="406">
        <f t="shared" si="28"/>
        <v>38535.793971508523</v>
      </c>
      <c r="AD58" s="406">
        <f t="shared" si="28"/>
        <v>38948.842563491446</v>
      </c>
      <c r="AE58" s="406">
        <f t="shared" si="28"/>
        <v>39366.719176919643</v>
      </c>
      <c r="AF58" s="406">
        <f t="shared" si="28"/>
        <v>0</v>
      </c>
      <c r="AG58" s="406">
        <f t="shared" si="28"/>
        <v>0</v>
      </c>
      <c r="AH58" s="406">
        <f t="shared" si="28"/>
        <v>0</v>
      </c>
      <c r="AI58" s="406">
        <f t="shared" si="28"/>
        <v>0</v>
      </c>
      <c r="AJ58" s="406">
        <f t="shared" si="28"/>
        <v>0</v>
      </c>
      <c r="AK58" s="406">
        <f t="shared" si="28"/>
        <v>0</v>
      </c>
      <c r="AL58" s="406">
        <f t="shared" si="28"/>
        <v>0</v>
      </c>
      <c r="AM58" s="406">
        <f t="shared" si="28"/>
        <v>0</v>
      </c>
      <c r="AN58" s="406">
        <f t="shared" si="28"/>
        <v>0</v>
      </c>
      <c r="AO58" s="406">
        <f t="shared" si="28"/>
        <v>0</v>
      </c>
      <c r="AP58" s="406">
        <f t="shared" si="28"/>
        <v>0</v>
      </c>
      <c r="AQ58" s="406">
        <f t="shared" si="28"/>
        <v>0</v>
      </c>
      <c r="AR58" s="406">
        <f t="shared" si="28"/>
        <v>0</v>
      </c>
      <c r="AS58" s="406">
        <f t="shared" si="28"/>
        <v>0</v>
      </c>
      <c r="AT58" s="406">
        <f t="shared" si="28"/>
        <v>0</v>
      </c>
      <c r="AU58" s="406">
        <f t="shared" si="28"/>
        <v>0</v>
      </c>
    </row>
    <row r="59" spans="4:47" s="403" customFormat="1" x14ac:dyDescent="0.3">
      <c r="E59" s="404" t="s">
        <v>401</v>
      </c>
      <c r="F59" s="372" t="s">
        <v>108</v>
      </c>
      <c r="G59" s="383">
        <f>1-D8</f>
        <v>0.5</v>
      </c>
      <c r="H59" s="406">
        <f>$G$59*H57</f>
        <v>30904.716453993078</v>
      </c>
      <c r="I59" s="406">
        <f t="shared" ref="I59:AU59" si="29">$G$59*I57</f>
        <v>31225.666635255158</v>
      </c>
      <c r="J59" s="406">
        <f t="shared" si="29"/>
        <v>31550.62609570325</v>
      </c>
      <c r="K59" s="406">
        <f t="shared" si="29"/>
        <v>31879.630237580783</v>
      </c>
      <c r="L59" s="406">
        <f t="shared" si="29"/>
        <v>32212.714801928414</v>
      </c>
      <c r="M59" s="406">
        <f t="shared" si="29"/>
        <v>32549.915871576271</v>
      </c>
      <c r="N59" s="406">
        <f t="shared" si="29"/>
        <v>32891.269874163649</v>
      </c>
      <c r="O59" s="406">
        <f t="shared" si="29"/>
        <v>33236.813585186173</v>
      </c>
      <c r="P59" s="406">
        <f t="shared" si="29"/>
        <v>33586.584131070369</v>
      </c>
      <c r="Q59" s="406">
        <f t="shared" si="29"/>
        <v>33940.618992276424</v>
      </c>
      <c r="R59" s="406">
        <f t="shared" si="29"/>
        <v>34298.956006429151</v>
      </c>
      <c r="S59" s="406">
        <f t="shared" si="29"/>
        <v>34661.633371477074</v>
      </c>
      <c r="T59" s="406">
        <f t="shared" si="29"/>
        <v>35028.689648880529</v>
      </c>
      <c r="U59" s="406">
        <f t="shared" si="29"/>
        <v>35400.163766828555</v>
      </c>
      <c r="V59" s="406">
        <f t="shared" si="29"/>
        <v>35776.095023485002</v>
      </c>
      <c r="W59" s="406">
        <f t="shared" si="29"/>
        <v>36156.523090264054</v>
      </c>
      <c r="X59" s="406">
        <f t="shared" si="29"/>
        <v>36541.488015135459</v>
      </c>
      <c r="Y59" s="406">
        <f t="shared" si="29"/>
        <v>36931.030225960007</v>
      </c>
      <c r="Z59" s="406">
        <f t="shared" si="29"/>
        <v>37325.190533854693</v>
      </c>
      <c r="AA59" s="406">
        <f t="shared" si="29"/>
        <v>37724.010136589051</v>
      </c>
      <c r="AB59" s="406">
        <f t="shared" si="29"/>
        <v>38127.530622011742</v>
      </c>
      <c r="AC59" s="406">
        <f t="shared" si="29"/>
        <v>38535.793971508523</v>
      </c>
      <c r="AD59" s="406">
        <f t="shared" si="29"/>
        <v>38948.842563491446</v>
      </c>
      <c r="AE59" s="406">
        <f t="shared" si="29"/>
        <v>39366.719176919643</v>
      </c>
      <c r="AF59" s="406">
        <f t="shared" si="29"/>
        <v>0</v>
      </c>
      <c r="AG59" s="406">
        <f t="shared" si="29"/>
        <v>0</v>
      </c>
      <c r="AH59" s="406">
        <f t="shared" si="29"/>
        <v>0</v>
      </c>
      <c r="AI59" s="406">
        <f t="shared" si="29"/>
        <v>0</v>
      </c>
      <c r="AJ59" s="406">
        <f t="shared" si="29"/>
        <v>0</v>
      </c>
      <c r="AK59" s="406">
        <f t="shared" si="29"/>
        <v>0</v>
      </c>
      <c r="AL59" s="406">
        <f t="shared" si="29"/>
        <v>0</v>
      </c>
      <c r="AM59" s="406">
        <f t="shared" si="29"/>
        <v>0</v>
      </c>
      <c r="AN59" s="406">
        <f t="shared" si="29"/>
        <v>0</v>
      </c>
      <c r="AO59" s="406">
        <f t="shared" si="29"/>
        <v>0</v>
      </c>
      <c r="AP59" s="406">
        <f t="shared" si="29"/>
        <v>0</v>
      </c>
      <c r="AQ59" s="406">
        <f t="shared" si="29"/>
        <v>0</v>
      </c>
      <c r="AR59" s="406">
        <f t="shared" si="29"/>
        <v>0</v>
      </c>
      <c r="AS59" s="406">
        <f t="shared" si="29"/>
        <v>0</v>
      </c>
      <c r="AT59" s="406">
        <f t="shared" si="29"/>
        <v>0</v>
      </c>
      <c r="AU59" s="406">
        <f t="shared" si="29"/>
        <v>0</v>
      </c>
    </row>
    <row r="60" spans="4:47" ht="2.7" customHeight="1" x14ac:dyDescent="0.3">
      <c r="E60" s="132"/>
      <c r="F60" s="139"/>
      <c r="G60" s="136"/>
      <c r="H60" s="136"/>
      <c r="I60" s="136"/>
      <c r="J60" s="136"/>
      <c r="K60" s="136"/>
      <c r="L60" s="136"/>
      <c r="M60" s="136"/>
      <c r="N60" s="136"/>
      <c r="O60" s="136"/>
      <c r="P60" s="136"/>
      <c r="Q60" s="136"/>
      <c r="R60" s="136"/>
      <c r="S60" s="136"/>
      <c r="T60" s="136"/>
      <c r="U60" s="136"/>
      <c r="V60" s="136"/>
      <c r="W60" s="136"/>
      <c r="X60" s="136"/>
      <c r="Y60" s="136"/>
      <c r="Z60" s="136"/>
      <c r="AA60" s="136"/>
      <c r="AB60" s="136"/>
      <c r="AC60" s="136"/>
      <c r="AD60" s="136"/>
      <c r="AE60" s="136"/>
      <c r="AF60" s="136"/>
      <c r="AG60" s="136"/>
      <c r="AH60" s="136"/>
      <c r="AI60" s="136"/>
      <c r="AJ60" s="136"/>
      <c r="AK60" s="136"/>
      <c r="AL60" s="136"/>
      <c r="AM60" s="136"/>
      <c r="AN60" s="136"/>
      <c r="AO60" s="136"/>
      <c r="AP60" s="136"/>
      <c r="AQ60" s="136"/>
      <c r="AR60" s="136"/>
      <c r="AS60" s="136"/>
      <c r="AT60" s="136"/>
      <c r="AU60" s="136"/>
    </row>
    <row r="61" spans="4:47" s="354" customFormat="1" ht="10.199999999999999" x14ac:dyDescent="0.2">
      <c r="E61" s="355" t="s">
        <v>393</v>
      </c>
    </row>
    <row r="62" spans="4:47" s="353" customFormat="1" ht="10.199999999999999" x14ac:dyDescent="0.2">
      <c r="D62" s="353" t="s">
        <v>179</v>
      </c>
      <c r="E62" s="356" t="s">
        <v>187</v>
      </c>
      <c r="F62" s="357" t="s">
        <v>433</v>
      </c>
      <c r="G62" s="358">
        <v>0.4</v>
      </c>
      <c r="H62" s="358">
        <f t="shared" ref="H62:AU62" si="30">G62*(1+G17)</f>
        <v>0.4</v>
      </c>
      <c r="I62" s="358">
        <f t="shared" si="30"/>
        <v>0.40560000000000002</v>
      </c>
      <c r="J62" s="358">
        <f t="shared" si="30"/>
        <v>0.41127840000000004</v>
      </c>
      <c r="K62" s="358">
        <f t="shared" si="30"/>
        <v>0.41703629760000005</v>
      </c>
      <c r="L62" s="358">
        <f t="shared" si="30"/>
        <v>0.42287480576640007</v>
      </c>
      <c r="M62" s="358">
        <f t="shared" si="30"/>
        <v>0.42879505304712967</v>
      </c>
      <c r="N62" s="358">
        <f t="shared" si="30"/>
        <v>0.43479818378978952</v>
      </c>
      <c r="O62" s="358">
        <f t="shared" si="30"/>
        <v>0.44088535836284659</v>
      </c>
      <c r="P62" s="358">
        <f t="shared" si="30"/>
        <v>0.44705775337992643</v>
      </c>
      <c r="Q62" s="358">
        <f t="shared" si="30"/>
        <v>0.4533165619272454</v>
      </c>
      <c r="R62" s="358">
        <f t="shared" si="30"/>
        <v>0.45966299379422682</v>
      </c>
      <c r="S62" s="358">
        <f t="shared" si="30"/>
        <v>0.46609827570734602</v>
      </c>
      <c r="T62" s="358">
        <f t="shared" si="30"/>
        <v>0.47262365156724889</v>
      </c>
      <c r="U62" s="358">
        <f t="shared" si="30"/>
        <v>0.47924038268919039</v>
      </c>
      <c r="V62" s="358">
        <f t="shared" si="30"/>
        <v>0.48594974804683905</v>
      </c>
      <c r="W62" s="358">
        <f t="shared" si="30"/>
        <v>0.49275304451949481</v>
      </c>
      <c r="X62" s="358">
        <f t="shared" si="30"/>
        <v>0.49965158714276775</v>
      </c>
      <c r="Y62" s="358">
        <f t="shared" si="30"/>
        <v>0.50664670936276646</v>
      </c>
      <c r="Z62" s="358">
        <f t="shared" si="30"/>
        <v>0.51373976329384519</v>
      </c>
      <c r="AA62" s="358">
        <f t="shared" si="30"/>
        <v>0.52093211997995903</v>
      </c>
      <c r="AB62" s="358">
        <f t="shared" si="30"/>
        <v>0.52822516965967847</v>
      </c>
      <c r="AC62" s="358">
        <f t="shared" si="30"/>
        <v>0.53562032203491394</v>
      </c>
      <c r="AD62" s="358">
        <f t="shared" si="30"/>
        <v>0.54311900654340273</v>
      </c>
      <c r="AE62" s="358">
        <f t="shared" si="30"/>
        <v>0.5507226726350104</v>
      </c>
      <c r="AF62" s="358">
        <f t="shared" si="30"/>
        <v>0.55843279005190061</v>
      </c>
      <c r="AG62" s="358">
        <f t="shared" si="30"/>
        <v>0.56625084911262724</v>
      </c>
      <c r="AH62" s="358">
        <f t="shared" si="30"/>
        <v>0.57417836100020403</v>
      </c>
      <c r="AI62" s="358">
        <f t="shared" si="30"/>
        <v>0.58221685805420686</v>
      </c>
      <c r="AJ62" s="358">
        <f t="shared" si="30"/>
        <v>0.59036789406696577</v>
      </c>
      <c r="AK62" s="358">
        <f t="shared" si="30"/>
        <v>0.59863304458390332</v>
      </c>
      <c r="AL62" s="358">
        <f t="shared" si="30"/>
        <v>0.60701390720807802</v>
      </c>
      <c r="AM62" s="358">
        <f t="shared" si="30"/>
        <v>0.61551210190899108</v>
      </c>
      <c r="AN62" s="358">
        <f t="shared" si="30"/>
        <v>0.62412927133571694</v>
      </c>
      <c r="AO62" s="358">
        <f t="shared" si="30"/>
        <v>0.63286708113441703</v>
      </c>
      <c r="AP62" s="358">
        <f t="shared" si="30"/>
        <v>0.64172722027029883</v>
      </c>
      <c r="AQ62" s="358">
        <f t="shared" si="30"/>
        <v>0.65071140135408301</v>
      </c>
      <c r="AR62" s="358">
        <f t="shared" si="30"/>
        <v>0.65982136097304023</v>
      </c>
      <c r="AS62" s="358">
        <f t="shared" si="30"/>
        <v>0.66905886002666282</v>
      </c>
      <c r="AT62" s="358">
        <f t="shared" si="30"/>
        <v>0.67842568406703607</v>
      </c>
      <c r="AU62" s="358">
        <f t="shared" si="30"/>
        <v>0.68792364364397462</v>
      </c>
    </row>
    <row r="63" spans="4:47" s="353" customFormat="1" ht="10.199999999999999" x14ac:dyDescent="0.2">
      <c r="E63" s="356" t="s">
        <v>188</v>
      </c>
      <c r="F63" s="357" t="s">
        <v>121</v>
      </c>
      <c r="G63" s="359"/>
      <c r="H63" s="359">
        <f t="shared" ref="H63:AU63" si="31">H62*(MAX(0,H65)+H64)*H16</f>
        <v>0</v>
      </c>
      <c r="I63" s="359">
        <f t="shared" si="31"/>
        <v>0</v>
      </c>
      <c r="J63" s="359">
        <f t="shared" si="31"/>
        <v>0</v>
      </c>
      <c r="K63" s="359">
        <f t="shared" si="31"/>
        <v>0</v>
      </c>
      <c r="L63" s="359">
        <f t="shared" si="31"/>
        <v>0</v>
      </c>
      <c r="M63" s="359">
        <f t="shared" si="31"/>
        <v>0</v>
      </c>
      <c r="N63" s="359">
        <f t="shared" si="31"/>
        <v>0</v>
      </c>
      <c r="O63" s="359">
        <f t="shared" si="31"/>
        <v>0</v>
      </c>
      <c r="P63" s="359">
        <f t="shared" si="31"/>
        <v>0</v>
      </c>
      <c r="Q63" s="359">
        <f t="shared" si="31"/>
        <v>0</v>
      </c>
      <c r="R63" s="359">
        <f t="shared" si="31"/>
        <v>0</v>
      </c>
      <c r="S63" s="359">
        <f t="shared" si="31"/>
        <v>0</v>
      </c>
      <c r="T63" s="359">
        <f t="shared" si="31"/>
        <v>0</v>
      </c>
      <c r="U63" s="359">
        <f t="shared" si="31"/>
        <v>0</v>
      </c>
      <c r="V63" s="359">
        <f t="shared" si="31"/>
        <v>0</v>
      </c>
      <c r="W63" s="359">
        <f t="shared" si="31"/>
        <v>0</v>
      </c>
      <c r="X63" s="359">
        <f t="shared" si="31"/>
        <v>0</v>
      </c>
      <c r="Y63" s="359">
        <f t="shared" si="31"/>
        <v>0</v>
      </c>
      <c r="Z63" s="359">
        <f t="shared" si="31"/>
        <v>0</v>
      </c>
      <c r="AA63" s="359">
        <f t="shared" si="31"/>
        <v>0</v>
      </c>
      <c r="AB63" s="359">
        <f t="shared" si="31"/>
        <v>0</v>
      </c>
      <c r="AC63" s="359">
        <f t="shared" si="31"/>
        <v>0</v>
      </c>
      <c r="AD63" s="359">
        <f t="shared" si="31"/>
        <v>0</v>
      </c>
      <c r="AE63" s="359">
        <f t="shared" si="31"/>
        <v>0</v>
      </c>
      <c r="AF63" s="359">
        <f t="shared" si="31"/>
        <v>0</v>
      </c>
      <c r="AG63" s="359">
        <f t="shared" si="31"/>
        <v>0</v>
      </c>
      <c r="AH63" s="359">
        <f t="shared" si="31"/>
        <v>0</v>
      </c>
      <c r="AI63" s="359">
        <f t="shared" si="31"/>
        <v>0</v>
      </c>
      <c r="AJ63" s="359">
        <f t="shared" si="31"/>
        <v>0</v>
      </c>
      <c r="AK63" s="359">
        <f t="shared" si="31"/>
        <v>0</v>
      </c>
      <c r="AL63" s="359">
        <f t="shared" si="31"/>
        <v>0</v>
      </c>
      <c r="AM63" s="359">
        <f t="shared" si="31"/>
        <v>0</v>
      </c>
      <c r="AN63" s="359">
        <f t="shared" si="31"/>
        <v>0</v>
      </c>
      <c r="AO63" s="359">
        <f t="shared" si="31"/>
        <v>0</v>
      </c>
      <c r="AP63" s="359">
        <f t="shared" si="31"/>
        <v>0</v>
      </c>
      <c r="AQ63" s="359">
        <f t="shared" si="31"/>
        <v>0</v>
      </c>
      <c r="AR63" s="359">
        <f t="shared" si="31"/>
        <v>0</v>
      </c>
      <c r="AS63" s="359">
        <f t="shared" si="31"/>
        <v>0</v>
      </c>
      <c r="AT63" s="359">
        <f t="shared" si="31"/>
        <v>0</v>
      </c>
      <c r="AU63" s="359">
        <f t="shared" si="31"/>
        <v>0</v>
      </c>
    </row>
    <row r="64" spans="4:47" s="353" customFormat="1" ht="10.199999999999999" x14ac:dyDescent="0.2">
      <c r="E64" s="356" t="s">
        <v>48</v>
      </c>
      <c r="F64" s="357" t="s">
        <v>109</v>
      </c>
      <c r="G64" s="357"/>
      <c r="H64" s="359">
        <f t="shared" ref="H64:AU64" si="32">H23-H26-H27</f>
        <v>0</v>
      </c>
      <c r="I64" s="359">
        <f t="shared" si="32"/>
        <v>0</v>
      </c>
      <c r="J64" s="359">
        <f t="shared" si="32"/>
        <v>0</v>
      </c>
      <c r="K64" s="359">
        <f t="shared" si="32"/>
        <v>0</v>
      </c>
      <c r="L64" s="359">
        <f t="shared" si="32"/>
        <v>0</v>
      </c>
      <c r="M64" s="359">
        <f t="shared" si="32"/>
        <v>0</v>
      </c>
      <c r="N64" s="359">
        <f t="shared" si="32"/>
        <v>0</v>
      </c>
      <c r="O64" s="359">
        <f t="shared" si="32"/>
        <v>0</v>
      </c>
      <c r="P64" s="359">
        <f t="shared" si="32"/>
        <v>0</v>
      </c>
      <c r="Q64" s="359">
        <f t="shared" si="32"/>
        <v>0</v>
      </c>
      <c r="R64" s="359">
        <f t="shared" si="32"/>
        <v>0</v>
      </c>
      <c r="S64" s="359">
        <f t="shared" si="32"/>
        <v>0</v>
      </c>
      <c r="T64" s="359">
        <f t="shared" si="32"/>
        <v>0</v>
      </c>
      <c r="U64" s="359">
        <f t="shared" si="32"/>
        <v>0</v>
      </c>
      <c r="V64" s="359">
        <f t="shared" si="32"/>
        <v>0</v>
      </c>
      <c r="W64" s="359">
        <f t="shared" si="32"/>
        <v>0</v>
      </c>
      <c r="X64" s="359">
        <f t="shared" si="32"/>
        <v>0</v>
      </c>
      <c r="Y64" s="359">
        <f t="shared" si="32"/>
        <v>0</v>
      </c>
      <c r="Z64" s="359">
        <f t="shared" si="32"/>
        <v>0</v>
      </c>
      <c r="AA64" s="359">
        <f t="shared" si="32"/>
        <v>0</v>
      </c>
      <c r="AB64" s="359">
        <f t="shared" si="32"/>
        <v>0</v>
      </c>
      <c r="AC64" s="359">
        <f t="shared" si="32"/>
        <v>0</v>
      </c>
      <c r="AD64" s="359">
        <f t="shared" si="32"/>
        <v>0</v>
      </c>
      <c r="AE64" s="359">
        <f t="shared" si="32"/>
        <v>0</v>
      </c>
      <c r="AF64" s="359">
        <f t="shared" si="32"/>
        <v>0</v>
      </c>
      <c r="AG64" s="359">
        <f t="shared" si="32"/>
        <v>0</v>
      </c>
      <c r="AH64" s="359">
        <f t="shared" si="32"/>
        <v>0</v>
      </c>
      <c r="AI64" s="359">
        <f t="shared" si="32"/>
        <v>0</v>
      </c>
      <c r="AJ64" s="359">
        <f t="shared" si="32"/>
        <v>0</v>
      </c>
      <c r="AK64" s="359">
        <f t="shared" si="32"/>
        <v>0</v>
      </c>
      <c r="AL64" s="359">
        <f t="shared" si="32"/>
        <v>0</v>
      </c>
      <c r="AM64" s="359">
        <f t="shared" si="32"/>
        <v>0</v>
      </c>
      <c r="AN64" s="359">
        <f t="shared" si="32"/>
        <v>0</v>
      </c>
      <c r="AO64" s="359">
        <f t="shared" si="32"/>
        <v>0</v>
      </c>
      <c r="AP64" s="359">
        <f t="shared" si="32"/>
        <v>0</v>
      </c>
      <c r="AQ64" s="359">
        <f t="shared" si="32"/>
        <v>0</v>
      </c>
      <c r="AR64" s="359">
        <f t="shared" si="32"/>
        <v>0</v>
      </c>
      <c r="AS64" s="359">
        <f t="shared" si="32"/>
        <v>0</v>
      </c>
      <c r="AT64" s="359">
        <f t="shared" si="32"/>
        <v>0</v>
      </c>
      <c r="AU64" s="359">
        <f t="shared" si="32"/>
        <v>0</v>
      </c>
    </row>
    <row r="65" spans="4:47" s="353" customFormat="1" ht="10.199999999999999" x14ac:dyDescent="0.2">
      <c r="D65" s="353" t="s">
        <v>119</v>
      </c>
      <c r="E65" s="356" t="s">
        <v>49</v>
      </c>
      <c r="F65" s="357" t="s">
        <v>109</v>
      </c>
      <c r="G65" s="360"/>
      <c r="H65" s="359">
        <f t="shared" ref="H65:AU65" si="33">H23*$G$65</f>
        <v>0</v>
      </c>
      <c r="I65" s="359">
        <f t="shared" si="33"/>
        <v>0</v>
      </c>
      <c r="J65" s="359">
        <f t="shared" si="33"/>
        <v>0</v>
      </c>
      <c r="K65" s="359">
        <f t="shared" si="33"/>
        <v>0</v>
      </c>
      <c r="L65" s="359">
        <f t="shared" si="33"/>
        <v>0</v>
      </c>
      <c r="M65" s="359">
        <f t="shared" si="33"/>
        <v>0</v>
      </c>
      <c r="N65" s="359">
        <f t="shared" si="33"/>
        <v>0</v>
      </c>
      <c r="O65" s="359">
        <f t="shared" si="33"/>
        <v>0</v>
      </c>
      <c r="P65" s="359">
        <f t="shared" si="33"/>
        <v>0</v>
      </c>
      <c r="Q65" s="359">
        <f t="shared" si="33"/>
        <v>0</v>
      </c>
      <c r="R65" s="359">
        <f t="shared" si="33"/>
        <v>0</v>
      </c>
      <c r="S65" s="359">
        <f t="shared" si="33"/>
        <v>0</v>
      </c>
      <c r="T65" s="359">
        <f t="shared" si="33"/>
        <v>0</v>
      </c>
      <c r="U65" s="359">
        <f t="shared" si="33"/>
        <v>0</v>
      </c>
      <c r="V65" s="359">
        <f t="shared" si="33"/>
        <v>0</v>
      </c>
      <c r="W65" s="359">
        <f t="shared" si="33"/>
        <v>0</v>
      </c>
      <c r="X65" s="359">
        <f t="shared" si="33"/>
        <v>0</v>
      </c>
      <c r="Y65" s="359">
        <f t="shared" si="33"/>
        <v>0</v>
      </c>
      <c r="Z65" s="359">
        <f t="shared" si="33"/>
        <v>0</v>
      </c>
      <c r="AA65" s="359">
        <f t="shared" si="33"/>
        <v>0</v>
      </c>
      <c r="AB65" s="359">
        <f t="shared" si="33"/>
        <v>0</v>
      </c>
      <c r="AC65" s="359">
        <f t="shared" si="33"/>
        <v>0</v>
      </c>
      <c r="AD65" s="359">
        <f t="shared" si="33"/>
        <v>0</v>
      </c>
      <c r="AE65" s="359">
        <f t="shared" si="33"/>
        <v>0</v>
      </c>
      <c r="AF65" s="359">
        <f t="shared" si="33"/>
        <v>0</v>
      </c>
      <c r="AG65" s="359">
        <f t="shared" si="33"/>
        <v>0</v>
      </c>
      <c r="AH65" s="359">
        <f t="shared" si="33"/>
        <v>0</v>
      </c>
      <c r="AI65" s="359">
        <f t="shared" si="33"/>
        <v>0</v>
      </c>
      <c r="AJ65" s="359">
        <f t="shared" si="33"/>
        <v>0</v>
      </c>
      <c r="AK65" s="359">
        <f t="shared" si="33"/>
        <v>0</v>
      </c>
      <c r="AL65" s="359">
        <f t="shared" si="33"/>
        <v>0</v>
      </c>
      <c r="AM65" s="359">
        <f t="shared" si="33"/>
        <v>0</v>
      </c>
      <c r="AN65" s="359">
        <f t="shared" si="33"/>
        <v>0</v>
      </c>
      <c r="AO65" s="359">
        <f t="shared" si="33"/>
        <v>0</v>
      </c>
      <c r="AP65" s="359">
        <f t="shared" si="33"/>
        <v>0</v>
      </c>
      <c r="AQ65" s="359">
        <f t="shared" si="33"/>
        <v>0</v>
      </c>
      <c r="AR65" s="359">
        <f t="shared" si="33"/>
        <v>0</v>
      </c>
      <c r="AS65" s="359">
        <f t="shared" si="33"/>
        <v>0</v>
      </c>
      <c r="AT65" s="359">
        <f t="shared" si="33"/>
        <v>0</v>
      </c>
      <c r="AU65" s="359">
        <f t="shared" si="33"/>
        <v>0</v>
      </c>
    </row>
    <row r="66" spans="4:47" s="348" customFormat="1" ht="2.4" customHeight="1" x14ac:dyDescent="0.3">
      <c r="D66" s="345"/>
      <c r="E66" s="346"/>
      <c r="F66" s="347"/>
      <c r="G66" s="350"/>
      <c r="H66" s="349"/>
      <c r="I66" s="349"/>
      <c r="J66" s="349"/>
      <c r="K66" s="349"/>
      <c r="L66" s="349"/>
      <c r="M66" s="349"/>
      <c r="N66" s="349"/>
      <c r="O66" s="349"/>
      <c r="P66" s="349"/>
      <c r="Q66" s="349"/>
      <c r="R66" s="349"/>
      <c r="S66" s="349"/>
      <c r="T66" s="349"/>
      <c r="U66" s="349"/>
      <c r="V66" s="349"/>
      <c r="W66" s="349"/>
      <c r="X66" s="349"/>
      <c r="Y66" s="349"/>
      <c r="Z66" s="349"/>
      <c r="AA66" s="349"/>
      <c r="AB66" s="349"/>
      <c r="AC66" s="349"/>
      <c r="AD66" s="349"/>
      <c r="AE66" s="349"/>
      <c r="AF66" s="349"/>
      <c r="AG66" s="349"/>
      <c r="AH66" s="349"/>
      <c r="AI66" s="349"/>
      <c r="AJ66" s="349"/>
      <c r="AK66" s="349"/>
      <c r="AL66" s="349"/>
      <c r="AM66" s="349"/>
      <c r="AN66" s="349"/>
      <c r="AO66" s="349"/>
      <c r="AP66" s="349"/>
      <c r="AQ66" s="349"/>
      <c r="AR66" s="349"/>
      <c r="AS66" s="349"/>
      <c r="AT66" s="349"/>
      <c r="AU66" s="349"/>
    </row>
    <row r="67" spans="4:47" s="348" customFormat="1" x14ac:dyDescent="0.3">
      <c r="D67" s="345"/>
      <c r="E67" s="352" t="s">
        <v>398</v>
      </c>
      <c r="F67" s="347"/>
      <c r="G67" s="350"/>
      <c r="H67" s="349"/>
      <c r="I67" s="349"/>
      <c r="J67" s="349"/>
      <c r="K67" s="349"/>
      <c r="L67" s="349"/>
      <c r="M67" s="349"/>
      <c r="N67" s="349"/>
      <c r="O67" s="349"/>
      <c r="P67" s="349"/>
      <c r="Q67" s="349"/>
      <c r="R67" s="349"/>
      <c r="S67" s="349"/>
      <c r="T67" s="349"/>
      <c r="U67" s="349"/>
      <c r="V67" s="349"/>
      <c r="W67" s="349"/>
      <c r="X67" s="349"/>
      <c r="Y67" s="349"/>
      <c r="Z67" s="349"/>
      <c r="AA67" s="349"/>
      <c r="AB67" s="349"/>
      <c r="AC67" s="349"/>
      <c r="AD67" s="349"/>
      <c r="AE67" s="349"/>
      <c r="AF67" s="349"/>
      <c r="AG67" s="349"/>
      <c r="AH67" s="349"/>
      <c r="AI67" s="349"/>
      <c r="AJ67" s="349"/>
      <c r="AK67" s="349"/>
      <c r="AL67" s="349"/>
      <c r="AM67" s="349"/>
      <c r="AN67" s="349"/>
      <c r="AO67" s="349"/>
      <c r="AP67" s="349"/>
      <c r="AQ67" s="349"/>
      <c r="AR67" s="349"/>
      <c r="AS67" s="349"/>
      <c r="AT67" s="349"/>
      <c r="AU67" s="349"/>
    </row>
    <row r="68" spans="4:47" s="348" customFormat="1" ht="1.95" customHeight="1" x14ac:dyDescent="0.3">
      <c r="D68" s="345"/>
      <c r="E68" s="346"/>
      <c r="F68" s="347"/>
      <c r="G68" s="350"/>
      <c r="H68" s="349"/>
      <c r="I68" s="349"/>
      <c r="J68" s="349"/>
      <c r="K68" s="349"/>
      <c r="L68" s="349"/>
      <c r="M68" s="349"/>
      <c r="N68" s="349"/>
      <c r="O68" s="349"/>
      <c r="P68" s="349"/>
      <c r="Q68" s="349"/>
      <c r="R68" s="349"/>
      <c r="S68" s="349"/>
      <c r="T68" s="349"/>
      <c r="U68" s="349"/>
      <c r="V68" s="349"/>
      <c r="W68" s="349"/>
      <c r="X68" s="349"/>
      <c r="Y68" s="349"/>
      <c r="Z68" s="349"/>
      <c r="AA68" s="349"/>
      <c r="AB68" s="349"/>
      <c r="AC68" s="349"/>
      <c r="AD68" s="349"/>
      <c r="AE68" s="349"/>
      <c r="AF68" s="349"/>
      <c r="AG68" s="349"/>
      <c r="AH68" s="349"/>
      <c r="AI68" s="349"/>
      <c r="AJ68" s="349"/>
      <c r="AK68" s="349"/>
      <c r="AL68" s="349"/>
      <c r="AM68" s="349"/>
      <c r="AN68" s="349"/>
      <c r="AO68" s="349"/>
      <c r="AP68" s="349"/>
      <c r="AQ68" s="349"/>
      <c r="AR68" s="349"/>
      <c r="AS68" s="349"/>
      <c r="AT68" s="349"/>
      <c r="AU68" s="349"/>
    </row>
    <row r="69" spans="4:47" s="407" customFormat="1" x14ac:dyDescent="0.3">
      <c r="E69" s="371" t="s">
        <v>404</v>
      </c>
      <c r="F69" s="408" t="s">
        <v>121</v>
      </c>
      <c r="G69" s="409"/>
      <c r="H69" s="410">
        <f>IF(H15&lt;=$G$2,$D$9*$G$32,0)</f>
        <v>17176.921018835616</v>
      </c>
      <c r="I69" s="142">
        <f>IF(I15&lt;=$G$2,(H69+($D$9*$G$32)),0)</f>
        <v>34353.842037671231</v>
      </c>
      <c r="J69" s="142">
        <f>IF(J15&lt;=$G$2,(I69+($D$9*$G$32)),0)</f>
        <v>51530.763056506847</v>
      </c>
      <c r="K69" s="142">
        <f t="shared" ref="K69:AU69" si="34">IF(K15&lt;=$G$2,(J69+($D$9*$G$32)),0)</f>
        <v>68707.684075342462</v>
      </c>
      <c r="L69" s="142">
        <f t="shared" si="34"/>
        <v>85884.605094178085</v>
      </c>
      <c r="M69" s="142">
        <f t="shared" si="34"/>
        <v>103061.52611301371</v>
      </c>
      <c r="N69" s="142">
        <f t="shared" si="34"/>
        <v>120238.44713184933</v>
      </c>
      <c r="O69" s="142">
        <f t="shared" si="34"/>
        <v>137415.36815068495</v>
      </c>
      <c r="P69" s="142">
        <f t="shared" si="34"/>
        <v>154592.28916952058</v>
      </c>
      <c r="Q69" s="142">
        <f t="shared" si="34"/>
        <v>171769.2101883562</v>
      </c>
      <c r="R69" s="142">
        <f t="shared" si="34"/>
        <v>188946.13120719182</v>
      </c>
      <c r="S69" s="142">
        <f t="shared" si="34"/>
        <v>206123.05222602744</v>
      </c>
      <c r="T69" s="142">
        <f t="shared" si="34"/>
        <v>223299.97324486307</v>
      </c>
      <c r="U69" s="142">
        <f t="shared" si="34"/>
        <v>240476.89426369869</v>
      </c>
      <c r="V69" s="142">
        <f t="shared" si="34"/>
        <v>257653.81528253431</v>
      </c>
      <c r="W69" s="142">
        <f t="shared" si="34"/>
        <v>274830.73630136991</v>
      </c>
      <c r="X69" s="142">
        <f t="shared" si="34"/>
        <v>292007.65732020553</v>
      </c>
      <c r="Y69" s="142">
        <f t="shared" si="34"/>
        <v>309184.57833904115</v>
      </c>
      <c r="Z69" s="142">
        <f t="shared" si="34"/>
        <v>326361.49935787678</v>
      </c>
      <c r="AA69" s="142">
        <f t="shared" si="34"/>
        <v>343538.4203767124</v>
      </c>
      <c r="AB69" s="142">
        <f t="shared" si="34"/>
        <v>360715.34139554802</v>
      </c>
      <c r="AC69" s="142">
        <f t="shared" si="34"/>
        <v>377892.26241438364</v>
      </c>
      <c r="AD69" s="142">
        <f t="shared" si="34"/>
        <v>395069.18343321927</v>
      </c>
      <c r="AE69" s="142">
        <f t="shared" si="34"/>
        <v>412246.10445205489</v>
      </c>
      <c r="AF69" s="142">
        <f t="shared" si="34"/>
        <v>0</v>
      </c>
      <c r="AG69" s="142">
        <f t="shared" si="34"/>
        <v>0</v>
      </c>
      <c r="AH69" s="142">
        <f t="shared" si="34"/>
        <v>0</v>
      </c>
      <c r="AI69" s="142">
        <f t="shared" si="34"/>
        <v>0</v>
      </c>
      <c r="AJ69" s="142">
        <f t="shared" si="34"/>
        <v>0</v>
      </c>
      <c r="AK69" s="142">
        <f t="shared" si="34"/>
        <v>0</v>
      </c>
      <c r="AL69" s="142">
        <f t="shared" si="34"/>
        <v>0</v>
      </c>
      <c r="AM69" s="142">
        <f t="shared" si="34"/>
        <v>0</v>
      </c>
      <c r="AN69" s="142">
        <f t="shared" si="34"/>
        <v>0</v>
      </c>
      <c r="AO69" s="142">
        <f t="shared" si="34"/>
        <v>0</v>
      </c>
      <c r="AP69" s="142">
        <f t="shared" si="34"/>
        <v>0</v>
      </c>
      <c r="AQ69" s="142">
        <f t="shared" si="34"/>
        <v>0</v>
      </c>
      <c r="AR69" s="142">
        <f t="shared" si="34"/>
        <v>0</v>
      </c>
      <c r="AS69" s="142">
        <f t="shared" si="34"/>
        <v>0</v>
      </c>
      <c r="AT69" s="142">
        <f t="shared" si="34"/>
        <v>0</v>
      </c>
      <c r="AU69" s="142">
        <f t="shared" si="34"/>
        <v>0</v>
      </c>
    </row>
    <row r="70" spans="4:47" s="407" customFormat="1" x14ac:dyDescent="0.3">
      <c r="E70" s="371" t="s">
        <v>403</v>
      </c>
      <c r="F70" s="408" t="s">
        <v>121</v>
      </c>
      <c r="G70" s="143"/>
      <c r="H70" s="143">
        <f>IF(H15&lt;=$G$2,H58,0)</f>
        <v>30904.716453993078</v>
      </c>
      <c r="I70" s="143">
        <f>IF(I15&lt;=$G$2,I58+H70,0)</f>
        <v>62130.383089248237</v>
      </c>
      <c r="J70" s="143">
        <f t="shared" ref="J70:AU70" si="35">IF(J15&lt;=$G$2,J58+I70,0)</f>
        <v>93681.009184951487</v>
      </c>
      <c r="K70" s="143">
        <f t="shared" si="35"/>
        <v>125560.63942253227</v>
      </c>
      <c r="L70" s="143">
        <f t="shared" si="35"/>
        <v>157773.35422446069</v>
      </c>
      <c r="M70" s="143">
        <f t="shared" si="35"/>
        <v>190323.27009603695</v>
      </c>
      <c r="N70" s="143">
        <f t="shared" si="35"/>
        <v>223214.5399702006</v>
      </c>
      <c r="O70" s="143">
        <f t="shared" si="35"/>
        <v>256451.35355538677</v>
      </c>
      <c r="P70" s="143">
        <f t="shared" si="35"/>
        <v>290037.93768645712</v>
      </c>
      <c r="Q70" s="143">
        <f t="shared" si="35"/>
        <v>323978.55667873356</v>
      </c>
      <c r="R70" s="143">
        <f t="shared" si="35"/>
        <v>358277.51268516271</v>
      </c>
      <c r="S70" s="143">
        <f t="shared" si="35"/>
        <v>392939.14605663979</v>
      </c>
      <c r="T70" s="143">
        <f t="shared" si="35"/>
        <v>427967.83570552029</v>
      </c>
      <c r="U70" s="143">
        <f t="shared" si="35"/>
        <v>463367.99947234883</v>
      </c>
      <c r="V70" s="143">
        <f t="shared" si="35"/>
        <v>499144.09449583385</v>
      </c>
      <c r="W70" s="143">
        <f t="shared" si="35"/>
        <v>535300.61758609791</v>
      </c>
      <c r="X70" s="143">
        <f t="shared" si="35"/>
        <v>571842.10560123343</v>
      </c>
      <c r="Y70" s="143">
        <f t="shared" si="35"/>
        <v>608773.13582719339</v>
      </c>
      <c r="Z70" s="143">
        <f t="shared" si="35"/>
        <v>646098.32636104804</v>
      </c>
      <c r="AA70" s="143">
        <f t="shared" si="35"/>
        <v>683822.33649763709</v>
      </c>
      <c r="AB70" s="143">
        <f t="shared" si="35"/>
        <v>721949.86711964884</v>
      </c>
      <c r="AC70" s="143">
        <f t="shared" si="35"/>
        <v>760485.66109115735</v>
      </c>
      <c r="AD70" s="143">
        <f t="shared" si="35"/>
        <v>799434.50365464878</v>
      </c>
      <c r="AE70" s="143">
        <f t="shared" si="35"/>
        <v>838801.22283156845</v>
      </c>
      <c r="AF70" s="143">
        <f t="shared" si="35"/>
        <v>0</v>
      </c>
      <c r="AG70" s="143">
        <f t="shared" si="35"/>
        <v>0</v>
      </c>
      <c r="AH70" s="143">
        <f t="shared" si="35"/>
        <v>0</v>
      </c>
      <c r="AI70" s="143">
        <f t="shared" si="35"/>
        <v>0</v>
      </c>
      <c r="AJ70" s="143">
        <f t="shared" si="35"/>
        <v>0</v>
      </c>
      <c r="AK70" s="143">
        <f t="shared" si="35"/>
        <v>0</v>
      </c>
      <c r="AL70" s="143">
        <f t="shared" si="35"/>
        <v>0</v>
      </c>
      <c r="AM70" s="143">
        <f t="shared" si="35"/>
        <v>0</v>
      </c>
      <c r="AN70" s="143">
        <f t="shared" si="35"/>
        <v>0</v>
      </c>
      <c r="AO70" s="143">
        <f t="shared" si="35"/>
        <v>0</v>
      </c>
      <c r="AP70" s="143">
        <f t="shared" si="35"/>
        <v>0</v>
      </c>
      <c r="AQ70" s="143">
        <f t="shared" si="35"/>
        <v>0</v>
      </c>
      <c r="AR70" s="143">
        <f t="shared" si="35"/>
        <v>0</v>
      </c>
      <c r="AS70" s="143">
        <f t="shared" si="35"/>
        <v>0</v>
      </c>
      <c r="AT70" s="143">
        <f t="shared" si="35"/>
        <v>0</v>
      </c>
      <c r="AU70" s="143">
        <f t="shared" si="35"/>
        <v>0</v>
      </c>
    </row>
    <row r="71" spans="4:47" s="364" customFormat="1" x14ac:dyDescent="0.3">
      <c r="D71" s="362"/>
      <c r="E71" s="351" t="s">
        <v>402</v>
      </c>
      <c r="F71" s="361" t="s">
        <v>121</v>
      </c>
      <c r="G71" s="363"/>
      <c r="H71" s="146">
        <f>IF(H15&lt;=$G$2,H43-$H$69+H59,0)</f>
        <v>116789.32154817123</v>
      </c>
      <c r="I71" s="146">
        <f t="shared" ref="I71:AU71" si="36">IF(I15&lt;=$G$2,I43-$H$69+I59,0)</f>
        <v>117110.2717294333</v>
      </c>
      <c r="J71" s="146">
        <f t="shared" si="36"/>
        <v>117435.23118988139</v>
      </c>
      <c r="K71" s="146">
        <f t="shared" si="36"/>
        <v>117764.23533175893</v>
      </c>
      <c r="L71" s="146">
        <f t="shared" si="36"/>
        <v>118097.31989610655</v>
      </c>
      <c r="M71" s="146">
        <f t="shared" si="36"/>
        <v>118434.52096575442</v>
      </c>
      <c r="N71" s="146">
        <f t="shared" si="36"/>
        <v>118775.87496834178</v>
      </c>
      <c r="O71" s="146">
        <f t="shared" si="36"/>
        <v>119121.41867936432</v>
      </c>
      <c r="P71" s="146">
        <f t="shared" si="36"/>
        <v>119471.18922524851</v>
      </c>
      <c r="Q71" s="146">
        <f t="shared" si="36"/>
        <v>119825.22408645457</v>
      </c>
      <c r="R71" s="146">
        <f t="shared" si="36"/>
        <v>120183.5611006073</v>
      </c>
      <c r="S71" s="146">
        <f t="shared" si="36"/>
        <v>120546.23846565522</v>
      </c>
      <c r="T71" s="146">
        <f t="shared" si="36"/>
        <v>120913.29474305868</v>
      </c>
      <c r="U71" s="146">
        <f t="shared" si="36"/>
        <v>121284.7688610067</v>
      </c>
      <c r="V71" s="146">
        <f t="shared" si="36"/>
        <v>121660.70011766315</v>
      </c>
      <c r="W71" s="146">
        <f t="shared" si="36"/>
        <v>122041.1281844422</v>
      </c>
      <c r="X71" s="146">
        <f t="shared" si="36"/>
        <v>122426.0931093136</v>
      </c>
      <c r="Y71" s="146">
        <f t="shared" si="36"/>
        <v>122815.63532013816</v>
      </c>
      <c r="Z71" s="146">
        <f t="shared" si="36"/>
        <v>123209.79562803284</v>
      </c>
      <c r="AA71" s="146">
        <f t="shared" si="36"/>
        <v>123608.6152307672</v>
      </c>
      <c r="AB71" s="146">
        <f t="shared" si="36"/>
        <v>124012.13571618989</v>
      </c>
      <c r="AC71" s="146">
        <f t="shared" si="36"/>
        <v>124420.39906568667</v>
      </c>
      <c r="AD71" s="146">
        <f t="shared" si="36"/>
        <v>124833.44765766959</v>
      </c>
      <c r="AE71" s="146">
        <f t="shared" si="36"/>
        <v>125251.32427109778</v>
      </c>
      <c r="AF71" s="146">
        <f t="shared" si="36"/>
        <v>0</v>
      </c>
      <c r="AG71" s="146">
        <f t="shared" si="36"/>
        <v>0</v>
      </c>
      <c r="AH71" s="146">
        <f t="shared" si="36"/>
        <v>0</v>
      </c>
      <c r="AI71" s="146">
        <f t="shared" si="36"/>
        <v>0</v>
      </c>
      <c r="AJ71" s="146">
        <f t="shared" si="36"/>
        <v>0</v>
      </c>
      <c r="AK71" s="146">
        <f t="shared" si="36"/>
        <v>0</v>
      </c>
      <c r="AL71" s="146">
        <f t="shared" si="36"/>
        <v>0</v>
      </c>
      <c r="AM71" s="146">
        <f t="shared" si="36"/>
        <v>0</v>
      </c>
      <c r="AN71" s="146">
        <f t="shared" si="36"/>
        <v>0</v>
      </c>
      <c r="AO71" s="146">
        <f t="shared" si="36"/>
        <v>0</v>
      </c>
      <c r="AP71" s="146">
        <f t="shared" si="36"/>
        <v>0</v>
      </c>
      <c r="AQ71" s="146">
        <f t="shared" si="36"/>
        <v>0</v>
      </c>
      <c r="AR71" s="146">
        <f t="shared" si="36"/>
        <v>0</v>
      </c>
      <c r="AS71" s="146">
        <f t="shared" si="36"/>
        <v>0</v>
      </c>
      <c r="AT71" s="146">
        <f t="shared" si="36"/>
        <v>0</v>
      </c>
      <c r="AU71" s="146">
        <f t="shared" si="36"/>
        <v>0</v>
      </c>
    </row>
    <row r="72" spans="4:47" x14ac:dyDescent="0.3">
      <c r="E72" s="132" t="s">
        <v>428</v>
      </c>
      <c r="F72" s="139" t="s">
        <v>108</v>
      </c>
      <c r="H72" s="365">
        <f>IF(H15&lt;=$G$2,H71/$G$76,0)</f>
        <v>3.3996000045672943E-2</v>
      </c>
      <c r="I72" s="365">
        <f t="shared" ref="I72:AU72" si="37">IF(I15&lt;=$G$2,I71/$G$76,0)</f>
        <v>3.4089424874520359E-2</v>
      </c>
      <c r="J72" s="365">
        <f t="shared" si="37"/>
        <v>3.4184016757457865E-2</v>
      </c>
      <c r="K72" s="365">
        <f t="shared" si="37"/>
        <v>3.427978599966279E-2</v>
      </c>
      <c r="L72" s="365">
        <f t="shared" si="37"/>
        <v>3.4376743004932354E-2</v>
      </c>
      <c r="M72" s="365">
        <f t="shared" si="37"/>
        <v>3.4474898276554693E-2</v>
      </c>
      <c r="N72" s="365">
        <f t="shared" si="37"/>
        <v>3.4574262418187833E-2</v>
      </c>
      <c r="O72" s="365">
        <f t="shared" si="37"/>
        <v>3.4674846134746702E-2</v>
      </c>
      <c r="P72" s="365">
        <f t="shared" si="37"/>
        <v>3.4776660233298083E-2</v>
      </c>
      <c r="Q72" s="365">
        <f t="shared" si="37"/>
        <v>3.4879715623963803E-2</v>
      </c>
      <c r="R72" s="365">
        <f t="shared" si="37"/>
        <v>3.4984023320832114E-2</v>
      </c>
      <c r="S72" s="365">
        <f t="shared" si="37"/>
        <v>3.5089594442877278E-2</v>
      </c>
      <c r="T72" s="365">
        <f t="shared" si="37"/>
        <v>3.5196440214887569E-2</v>
      </c>
      <c r="U72" s="365">
        <f t="shared" si="37"/>
        <v>3.5304571968401678E-2</v>
      </c>
      <c r="V72" s="365">
        <f t="shared" si="37"/>
        <v>3.5414001142653632E-2</v>
      </c>
      <c r="W72" s="365">
        <f t="shared" si="37"/>
        <v>3.5524739285526241E-2</v>
      </c>
      <c r="X72" s="365">
        <f t="shared" si="37"/>
        <v>3.5636798054513204E-2</v>
      </c>
      <c r="Y72" s="365">
        <f t="shared" si="37"/>
        <v>3.5750189217690062E-2</v>
      </c>
      <c r="Z72" s="365">
        <f t="shared" si="37"/>
        <v>3.5864924654693715E-2</v>
      </c>
      <c r="AA72" s="365">
        <f t="shared" si="37"/>
        <v>3.5981016357711108E-2</v>
      </c>
      <c r="AB72" s="365">
        <f t="shared" si="37"/>
        <v>3.6098476432476601E-2</v>
      </c>
      <c r="AC72" s="365">
        <f t="shared" si="37"/>
        <v>3.6217317099278612E-2</v>
      </c>
      <c r="AD72" s="365">
        <f t="shared" si="37"/>
        <v>3.6337550693975235E-2</v>
      </c>
      <c r="AE72" s="365">
        <f t="shared" si="37"/>
        <v>3.6459189669019121E-2</v>
      </c>
      <c r="AF72" s="365">
        <f t="shared" si="37"/>
        <v>0</v>
      </c>
      <c r="AG72" s="365">
        <f t="shared" si="37"/>
        <v>0</v>
      </c>
      <c r="AH72" s="365">
        <f t="shared" si="37"/>
        <v>0</v>
      </c>
      <c r="AI72" s="365">
        <f t="shared" si="37"/>
        <v>0</v>
      </c>
      <c r="AJ72" s="365">
        <f t="shared" si="37"/>
        <v>0</v>
      </c>
      <c r="AK72" s="365">
        <f t="shared" si="37"/>
        <v>0</v>
      </c>
      <c r="AL72" s="365">
        <f t="shared" si="37"/>
        <v>0</v>
      </c>
      <c r="AM72" s="365">
        <f t="shared" si="37"/>
        <v>0</v>
      </c>
      <c r="AN72" s="365">
        <f t="shared" si="37"/>
        <v>0</v>
      </c>
      <c r="AO72" s="365">
        <f t="shared" si="37"/>
        <v>0</v>
      </c>
      <c r="AP72" s="365">
        <f t="shared" si="37"/>
        <v>0</v>
      </c>
      <c r="AQ72" s="365">
        <f t="shared" si="37"/>
        <v>0</v>
      </c>
      <c r="AR72" s="365">
        <f t="shared" si="37"/>
        <v>0</v>
      </c>
      <c r="AS72" s="365">
        <f t="shared" si="37"/>
        <v>0</v>
      </c>
      <c r="AT72" s="365">
        <f t="shared" si="37"/>
        <v>0</v>
      </c>
      <c r="AU72" s="365">
        <f t="shared" si="37"/>
        <v>0</v>
      </c>
    </row>
    <row r="73" spans="4:47" ht="2.7" customHeight="1" x14ac:dyDescent="0.3">
      <c r="E73" s="132"/>
      <c r="F73" s="139"/>
    </row>
    <row r="74" spans="4:47" x14ac:dyDescent="0.3">
      <c r="D74" s="34" t="s">
        <v>60</v>
      </c>
      <c r="E74" s="141" t="s">
        <v>400</v>
      </c>
      <c r="F74" s="139"/>
    </row>
    <row r="75" spans="4:47" ht="2.7" customHeight="1" x14ac:dyDescent="0.3">
      <c r="E75" s="132"/>
      <c r="F75" s="139"/>
    </row>
    <row r="76" spans="4:47" x14ac:dyDescent="0.3">
      <c r="E76" s="132" t="s">
        <v>52</v>
      </c>
      <c r="F76" s="139" t="s">
        <v>121</v>
      </c>
      <c r="G76" s="136">
        <f>G32</f>
        <v>3435384.2037671232</v>
      </c>
    </row>
    <row r="77" spans="4:47" x14ac:dyDescent="0.3">
      <c r="E77" s="132" t="s">
        <v>56</v>
      </c>
      <c r="F77" s="139" t="s">
        <v>121</v>
      </c>
      <c r="G77" s="136">
        <v>0</v>
      </c>
      <c r="H77" s="136">
        <f>G79</f>
        <v>0</v>
      </c>
      <c r="I77" s="136">
        <f t="shared" ref="I77:AU77" si="38">H79</f>
        <v>134002.5</v>
      </c>
      <c r="J77" s="136">
        <f t="shared" si="38"/>
        <v>269201.64232500002</v>
      </c>
      <c r="K77" s="136">
        <f t="shared" si="38"/>
        <v>405608.11299096228</v>
      </c>
      <c r="L77" s="136">
        <f t="shared" si="38"/>
        <v>543232.69343997154</v>
      </c>
      <c r="M77" s="136">
        <f t="shared" si="38"/>
        <v>682086.26139239047</v>
      </c>
      <c r="N77" s="136">
        <f t="shared" si="38"/>
        <v>822179.79170662444</v>
      </c>
      <c r="O77" s="136">
        <f t="shared" si="38"/>
        <v>963524.35724656458</v>
      </c>
      <c r="P77" s="136">
        <f t="shared" si="38"/>
        <v>1106131.1297567764</v>
      </c>
      <c r="Q77" s="136">
        <f t="shared" si="38"/>
        <v>1250011.3807455045</v>
      </c>
      <c r="R77" s="136">
        <f t="shared" si="38"/>
        <v>1395176.482375562</v>
      </c>
      <c r="S77" s="136">
        <f t="shared" si="38"/>
        <v>1541637.9083631756</v>
      </c>
      <c r="T77" s="136">
        <f t="shared" si="38"/>
        <v>1689407.2348848586</v>
      </c>
      <c r="U77" s="136">
        <f t="shared" si="38"/>
        <v>1838496.1414923803</v>
      </c>
      <c r="V77" s="136">
        <f t="shared" si="38"/>
        <v>1988916.4120359072</v>
      </c>
      <c r="W77" s="136">
        <f t="shared" si="38"/>
        <v>2140679.9355953876</v>
      </c>
      <c r="X77" s="136">
        <f t="shared" si="38"/>
        <v>2293798.7074202546</v>
      </c>
      <c r="Y77" s="136">
        <f t="shared" si="38"/>
        <v>2448284.8298775177</v>
      </c>
      <c r="Z77" s="136">
        <f t="shared" si="38"/>
        <v>2604150.5134083237</v>
      </c>
      <c r="AA77" s="136">
        <f>Z79</f>
        <v>2761408.0774930599</v>
      </c>
      <c r="AB77" s="136">
        <f t="shared" si="38"/>
        <v>2920069.9516250729</v>
      </c>
      <c r="AC77" s="136">
        <f t="shared" si="38"/>
        <v>3080148.6762930849</v>
      </c>
      <c r="AD77" s="136">
        <f t="shared" si="38"/>
        <v>3241656.9039723822</v>
      </c>
      <c r="AE77" s="136">
        <f t="shared" si="38"/>
        <v>3404607.4001248553</v>
      </c>
      <c r="AF77" s="136">
        <f t="shared" si="38"/>
        <v>3569013.0442079701</v>
      </c>
      <c r="AG77" s="136">
        <f t="shared" si="38"/>
        <v>3734886.8306927471</v>
      </c>
      <c r="AH77" s="136">
        <f t="shared" si="38"/>
        <v>3734886.8306927471</v>
      </c>
      <c r="AI77" s="136">
        <f t="shared" si="38"/>
        <v>3734886.8306927471</v>
      </c>
      <c r="AJ77" s="136">
        <f t="shared" si="38"/>
        <v>3734886.8306927471</v>
      </c>
      <c r="AK77" s="136">
        <f t="shared" si="38"/>
        <v>3734886.8306927471</v>
      </c>
      <c r="AL77" s="136">
        <f t="shared" si="38"/>
        <v>3734886.8306927471</v>
      </c>
      <c r="AM77" s="136">
        <f t="shared" si="38"/>
        <v>3734886.8306927471</v>
      </c>
      <c r="AN77" s="136">
        <f t="shared" si="38"/>
        <v>3734886.8306927471</v>
      </c>
      <c r="AO77" s="136">
        <f t="shared" si="38"/>
        <v>3734886.8306927471</v>
      </c>
      <c r="AP77" s="136">
        <f t="shared" si="38"/>
        <v>3734886.8306927471</v>
      </c>
      <c r="AQ77" s="136">
        <f t="shared" si="38"/>
        <v>3734886.8306927471</v>
      </c>
      <c r="AR77" s="136">
        <f t="shared" si="38"/>
        <v>3734886.8306927471</v>
      </c>
      <c r="AS77" s="136">
        <f t="shared" si="38"/>
        <v>3734886.8306927471</v>
      </c>
      <c r="AT77" s="136">
        <f t="shared" si="38"/>
        <v>3734886.8306927471</v>
      </c>
      <c r="AU77" s="136">
        <f t="shared" si="38"/>
        <v>3734886.8306927471</v>
      </c>
    </row>
    <row r="78" spans="4:47" x14ac:dyDescent="0.3">
      <c r="E78" s="296" t="s">
        <v>57</v>
      </c>
      <c r="F78" s="294" t="s">
        <v>121</v>
      </c>
      <c r="G78" s="293"/>
      <c r="H78" s="293">
        <f>H44-H43-H42-H41</f>
        <v>134002.5</v>
      </c>
      <c r="I78" s="293">
        <f t="shared" ref="I78:AU78" si="39">I44-I43-I42-I41</f>
        <v>135199.14232499999</v>
      </c>
      <c r="J78" s="293">
        <f t="shared" si="39"/>
        <v>136406.47066596226</v>
      </c>
      <c r="K78" s="293">
        <f t="shared" si="39"/>
        <v>137624.58044900929</v>
      </c>
      <c r="L78" s="293">
        <f t="shared" si="39"/>
        <v>138853.56795241893</v>
      </c>
      <c r="M78" s="293">
        <f t="shared" si="39"/>
        <v>140093.53031423403</v>
      </c>
      <c r="N78" s="293">
        <f t="shared" si="39"/>
        <v>141344.56553994014</v>
      </c>
      <c r="O78" s="293">
        <f t="shared" si="39"/>
        <v>142606.7725102118</v>
      </c>
      <c r="P78" s="293">
        <f t="shared" si="39"/>
        <v>143880.25098872802</v>
      </c>
      <c r="Q78" s="293">
        <f t="shared" si="39"/>
        <v>145165.10163005735</v>
      </c>
      <c r="R78" s="293">
        <f t="shared" si="39"/>
        <v>146461.42598761374</v>
      </c>
      <c r="S78" s="293">
        <f t="shared" si="39"/>
        <v>147769.32652168314</v>
      </c>
      <c r="T78" s="293">
        <f t="shared" si="39"/>
        <v>149088.90660752179</v>
      </c>
      <c r="U78" s="293">
        <f t="shared" si="39"/>
        <v>150420.27054352695</v>
      </c>
      <c r="V78" s="293">
        <f t="shared" si="39"/>
        <v>151763.52355948064</v>
      </c>
      <c r="W78" s="293">
        <f t="shared" si="39"/>
        <v>153118.77182486682</v>
      </c>
      <c r="X78" s="293">
        <f t="shared" si="39"/>
        <v>154486.12245726286</v>
      </c>
      <c r="Y78" s="293">
        <f t="shared" si="39"/>
        <v>155865.68353080621</v>
      </c>
      <c r="Z78" s="293">
        <f t="shared" si="39"/>
        <v>157257.56408473634</v>
      </c>
      <c r="AA78" s="293">
        <f t="shared" si="39"/>
        <v>158661.87413201301</v>
      </c>
      <c r="AB78" s="293">
        <f t="shared" si="39"/>
        <v>160078.72466801186</v>
      </c>
      <c r="AC78" s="293">
        <f t="shared" si="39"/>
        <v>161508.22767929724</v>
      </c>
      <c r="AD78" s="293">
        <f t="shared" si="39"/>
        <v>162950.49615247335</v>
      </c>
      <c r="AE78" s="293">
        <f t="shared" si="39"/>
        <v>164405.64408311495</v>
      </c>
      <c r="AF78" s="293">
        <f t="shared" si="39"/>
        <v>165873.78648477717</v>
      </c>
      <c r="AG78" s="293">
        <f t="shared" si="39"/>
        <v>0</v>
      </c>
      <c r="AH78" s="293">
        <f t="shared" si="39"/>
        <v>0</v>
      </c>
      <c r="AI78" s="293">
        <f t="shared" si="39"/>
        <v>0</v>
      </c>
      <c r="AJ78" s="293">
        <f t="shared" si="39"/>
        <v>0</v>
      </c>
      <c r="AK78" s="293">
        <f t="shared" si="39"/>
        <v>0</v>
      </c>
      <c r="AL78" s="293">
        <f t="shared" si="39"/>
        <v>0</v>
      </c>
      <c r="AM78" s="293">
        <f t="shared" si="39"/>
        <v>0</v>
      </c>
      <c r="AN78" s="293">
        <f t="shared" si="39"/>
        <v>0</v>
      </c>
      <c r="AO78" s="293">
        <f t="shared" si="39"/>
        <v>0</v>
      </c>
      <c r="AP78" s="293">
        <f t="shared" si="39"/>
        <v>0</v>
      </c>
      <c r="AQ78" s="293">
        <f t="shared" si="39"/>
        <v>0</v>
      </c>
      <c r="AR78" s="293">
        <f t="shared" si="39"/>
        <v>0</v>
      </c>
      <c r="AS78" s="293">
        <f t="shared" si="39"/>
        <v>0</v>
      </c>
      <c r="AT78" s="293">
        <f t="shared" si="39"/>
        <v>0</v>
      </c>
      <c r="AU78" s="293">
        <f t="shared" si="39"/>
        <v>0</v>
      </c>
    </row>
    <row r="79" spans="4:47" ht="15" customHeight="1" x14ac:dyDescent="0.3">
      <c r="E79" s="165" t="s">
        <v>58</v>
      </c>
      <c r="F79" s="166" t="s">
        <v>121</v>
      </c>
      <c r="G79" s="167">
        <v>0</v>
      </c>
      <c r="H79" s="167">
        <f>H77+H78</f>
        <v>134002.5</v>
      </c>
      <c r="I79" s="167">
        <f t="shared" ref="I79:AU79" si="40">I77+I78</f>
        <v>269201.64232500002</v>
      </c>
      <c r="J79" s="167">
        <f t="shared" si="40"/>
        <v>405608.11299096228</v>
      </c>
      <c r="K79" s="167">
        <f t="shared" si="40"/>
        <v>543232.69343997154</v>
      </c>
      <c r="L79" s="167">
        <f t="shared" si="40"/>
        <v>682086.26139239047</v>
      </c>
      <c r="M79" s="167">
        <f t="shared" si="40"/>
        <v>822179.79170662444</v>
      </c>
      <c r="N79" s="167">
        <f t="shared" si="40"/>
        <v>963524.35724656458</v>
      </c>
      <c r="O79" s="167">
        <f t="shared" si="40"/>
        <v>1106131.1297567764</v>
      </c>
      <c r="P79" s="167">
        <f t="shared" si="40"/>
        <v>1250011.3807455045</v>
      </c>
      <c r="Q79" s="167">
        <f t="shared" si="40"/>
        <v>1395176.482375562</v>
      </c>
      <c r="R79" s="167">
        <f t="shared" si="40"/>
        <v>1541637.9083631756</v>
      </c>
      <c r="S79" s="167">
        <f t="shared" si="40"/>
        <v>1689407.2348848586</v>
      </c>
      <c r="T79" s="167">
        <f t="shared" si="40"/>
        <v>1838496.1414923803</v>
      </c>
      <c r="U79" s="167">
        <f t="shared" si="40"/>
        <v>1988916.4120359072</v>
      </c>
      <c r="V79" s="167">
        <f t="shared" si="40"/>
        <v>2140679.9355953876</v>
      </c>
      <c r="W79" s="167">
        <f t="shared" si="40"/>
        <v>2293798.7074202546</v>
      </c>
      <c r="X79" s="167">
        <f t="shared" si="40"/>
        <v>2448284.8298775177</v>
      </c>
      <c r="Y79" s="167">
        <f t="shared" si="40"/>
        <v>2604150.5134083237</v>
      </c>
      <c r="Z79" s="167">
        <f t="shared" si="40"/>
        <v>2761408.0774930599</v>
      </c>
      <c r="AA79" s="167">
        <f t="shared" si="40"/>
        <v>2920069.9516250729</v>
      </c>
      <c r="AB79" s="167">
        <f t="shared" si="40"/>
        <v>3080148.6762930849</v>
      </c>
      <c r="AC79" s="167">
        <f t="shared" si="40"/>
        <v>3241656.9039723822</v>
      </c>
      <c r="AD79" s="167">
        <f t="shared" si="40"/>
        <v>3404607.4001248553</v>
      </c>
      <c r="AE79" s="167">
        <f t="shared" si="40"/>
        <v>3569013.0442079701</v>
      </c>
      <c r="AF79" s="167">
        <f t="shared" si="40"/>
        <v>3734886.8306927471</v>
      </c>
      <c r="AG79" s="167">
        <f t="shared" si="40"/>
        <v>3734886.8306927471</v>
      </c>
      <c r="AH79" s="167">
        <f t="shared" si="40"/>
        <v>3734886.8306927471</v>
      </c>
      <c r="AI79" s="167">
        <f t="shared" si="40"/>
        <v>3734886.8306927471</v>
      </c>
      <c r="AJ79" s="167">
        <f t="shared" si="40"/>
        <v>3734886.8306927471</v>
      </c>
      <c r="AK79" s="167">
        <f t="shared" si="40"/>
        <v>3734886.8306927471</v>
      </c>
      <c r="AL79" s="167">
        <f t="shared" si="40"/>
        <v>3734886.8306927471</v>
      </c>
      <c r="AM79" s="167">
        <f t="shared" si="40"/>
        <v>3734886.8306927471</v>
      </c>
      <c r="AN79" s="167">
        <f t="shared" si="40"/>
        <v>3734886.8306927471</v>
      </c>
      <c r="AO79" s="167">
        <f t="shared" si="40"/>
        <v>3734886.8306927471</v>
      </c>
      <c r="AP79" s="167">
        <f t="shared" si="40"/>
        <v>3734886.8306927471</v>
      </c>
      <c r="AQ79" s="167">
        <f t="shared" si="40"/>
        <v>3734886.8306927471</v>
      </c>
      <c r="AR79" s="167">
        <f t="shared" si="40"/>
        <v>3734886.8306927471</v>
      </c>
      <c r="AS79" s="167">
        <f t="shared" si="40"/>
        <v>3734886.8306927471</v>
      </c>
      <c r="AT79" s="167">
        <f t="shared" si="40"/>
        <v>3734886.8306927471</v>
      </c>
      <c r="AU79" s="167">
        <f t="shared" si="40"/>
        <v>3734886.8306927471</v>
      </c>
    </row>
    <row r="80" spans="4:47" x14ac:dyDescent="0.3">
      <c r="E80" s="161" t="s">
        <v>55</v>
      </c>
      <c r="F80" s="162" t="s">
        <v>121</v>
      </c>
      <c r="G80" s="163"/>
      <c r="H80" s="164">
        <f>IF(I79&gt;$G$76,$G$76,0)</f>
        <v>0</v>
      </c>
      <c r="I80" s="164">
        <f>IF(AND(I79&gt;$G$76, SUM($H$80:H$80)=0),$G$76,0)</f>
        <v>0</v>
      </c>
      <c r="J80" s="164">
        <f>IF(AND(J79&gt;$G$76, SUM($H$80:I$80)=0),$G$76,0)</f>
        <v>0</v>
      </c>
      <c r="K80" s="164">
        <f>IF(AND(K79&gt;$G$76, SUM($H$80:J$80)=0),$G$76,0)</f>
        <v>0</v>
      </c>
      <c r="L80" s="164">
        <f>IF(AND(L79&gt;$G$76, SUM($H$80:K$80)=0),$G$76,0)</f>
        <v>0</v>
      </c>
      <c r="M80" s="164">
        <f>IF(AND(M79&gt;$G$76, SUM($H$80:L$80)=0),$G$76,0)</f>
        <v>0</v>
      </c>
      <c r="N80" s="164">
        <f>IF(AND(N79&gt;$G$76, SUM($H$80:M$80)=0),$G$76,0)</f>
        <v>0</v>
      </c>
      <c r="O80" s="164">
        <f>IF(AND(O79&gt;$G$76, SUM($H$80:N$80)=0),$G$76,0)</f>
        <v>0</v>
      </c>
      <c r="P80" s="164">
        <f>IF(AND(P79&gt;$G$76, SUM($H$80:O$80)=0),$G$76,0)</f>
        <v>0</v>
      </c>
      <c r="Q80" s="164">
        <f>IF(AND(Q79&gt;$G$76, SUM($H$80:P$80)=0),$G$76,0)</f>
        <v>0</v>
      </c>
      <c r="R80" s="164">
        <f>IF(AND(R79&gt;$G$76, SUM($H$80:Q$80)=0),$G$76,0)</f>
        <v>0</v>
      </c>
      <c r="S80" s="164">
        <f>IF(AND(S79&gt;$G$76, SUM($H$80:R$80)=0),$G$76,0)</f>
        <v>0</v>
      </c>
      <c r="T80" s="164">
        <f>IF(AND(T79&gt;$G$76, SUM($H$80:S$80)=0),$G$76,0)</f>
        <v>0</v>
      </c>
      <c r="U80" s="164">
        <f>IF(AND(U79&gt;$G$76, SUM($H$80:T$80)=0),$G$76,0)</f>
        <v>0</v>
      </c>
      <c r="V80" s="164">
        <f>IF(AND(V79&gt;$G$76, SUM($H$80:U$80)=0),$G$76,0)</f>
        <v>0</v>
      </c>
      <c r="W80" s="164">
        <f>IF(AND(W79&gt;$G$76, SUM($H$80:V$80)=0),$G$76,0)</f>
        <v>0</v>
      </c>
      <c r="X80" s="164">
        <f>IF(AND(X79&gt;$G$76, SUM($H$80:W$80)=0),$G$76,0)</f>
        <v>0</v>
      </c>
      <c r="Y80" s="164">
        <f>IF(AND(Y79&gt;$G$76, SUM($H$80:X$80)=0),$G$76,0)</f>
        <v>0</v>
      </c>
      <c r="Z80" s="164">
        <f>IF(AND(Z79&gt;$G$76, SUM($H$80:Y$80)=0),$G$76,0)</f>
        <v>0</v>
      </c>
      <c r="AA80" s="164">
        <f>IF(AND(AA79&gt;$G$76, SUM($H$80:Z$80)=0),$G$76,0)</f>
        <v>0</v>
      </c>
      <c r="AB80" s="164">
        <f>IF(AND(AB79&gt;$G$76, SUM($H$80:AA$80)=0),$G$76,0)</f>
        <v>0</v>
      </c>
      <c r="AC80" s="164">
        <f>IF(AND(AC79&gt;$G$76, SUM($H$80:AB$80)=0),$G$76,0)</f>
        <v>0</v>
      </c>
      <c r="AD80" s="164">
        <f>IF(AND(AD79&gt;$G$76, SUM($H$80:AC$80)=0),$G$76,0)</f>
        <v>0</v>
      </c>
      <c r="AE80" s="164">
        <f>IF(AND(AE79&gt;$G$76, SUM($H$80:AD$80)=0),$G$76,0)</f>
        <v>3435384.2037671232</v>
      </c>
      <c r="AF80" s="164">
        <f>IF(AND(AF79&gt;$G$76, SUM($H$80:AE$80)=0),$G$76,0)</f>
        <v>0</v>
      </c>
      <c r="AG80" s="164">
        <f>IF(AND(AG79&gt;$G$76, SUM($H$80:AF$80)=0),$G$76,0)</f>
        <v>0</v>
      </c>
      <c r="AH80" s="164">
        <f>IF(AND(AH79&gt;$G$76, SUM($H$80:AG$80)=0),$G$76,0)</f>
        <v>0</v>
      </c>
      <c r="AI80" s="164">
        <f>IF(AND(AI79&gt;$G$76, SUM($H$80:AH$80)=0),$G$76,0)</f>
        <v>0</v>
      </c>
      <c r="AJ80" s="164">
        <f>IF(AND(AJ79&gt;$G$76, SUM($H$80:AI$80)=0),$G$76,0)</f>
        <v>0</v>
      </c>
      <c r="AK80" s="164">
        <f>IF(AND(AK79&gt;$G$76, SUM($H$80:AJ$80)=0),$G$76,0)</f>
        <v>0</v>
      </c>
      <c r="AL80" s="164">
        <f>IF(AND(AL79&gt;$G$76, SUM($H$80:AK$80)=0),$G$76,0)</f>
        <v>0</v>
      </c>
      <c r="AM80" s="164">
        <f>IF(AND(AM79&gt;$G$76, SUM($H$80:AL$80)=0),$G$76,0)</f>
        <v>0</v>
      </c>
      <c r="AN80" s="164">
        <f>IF(AND(AN79&gt;$G$76, SUM($H$80:AM$80)=0),$G$76,0)</f>
        <v>0</v>
      </c>
      <c r="AO80" s="164">
        <f>IF(AND(AO79&gt;$G$76, SUM($H$80:AN$80)=0),$G$76,0)</f>
        <v>0</v>
      </c>
      <c r="AP80" s="164">
        <f>IF(AND(AP79&gt;$G$76, SUM($H$80:AO$80)=0),$G$76,0)</f>
        <v>0</v>
      </c>
      <c r="AQ80" s="164">
        <f>IF(AND(AQ79&gt;$G$76, SUM($H$80:AP$80)=0),$G$76,0)</f>
        <v>0</v>
      </c>
      <c r="AR80" s="164">
        <f>IF(AND(AR79&gt;$G$76, SUM($H$80:AQ$80)=0),$G$76,0)</f>
        <v>0</v>
      </c>
      <c r="AS80" s="164">
        <f>IF(AND(AS79&gt;$G$76, SUM($H$80:AR$80)=0),$G$76,0)</f>
        <v>0</v>
      </c>
      <c r="AT80" s="164">
        <f>IF(AND(AT79&gt;$G$76, SUM($H$80:AS$80)=0),$G$76,0)</f>
        <v>0</v>
      </c>
      <c r="AU80" s="164">
        <f>IF(AND(AU79&gt;$G$76, SUM($H$80:AT$80)=0),$G$76,0)</f>
        <v>0</v>
      </c>
    </row>
    <row r="81" spans="5:47" ht="15" customHeight="1" thickBot="1" x14ac:dyDescent="0.35">
      <c r="E81" s="168" t="s">
        <v>203</v>
      </c>
      <c r="F81" s="169" t="s">
        <v>121</v>
      </c>
      <c r="G81" s="170"/>
      <c r="H81" s="170">
        <f>H79-H80</f>
        <v>134002.5</v>
      </c>
      <c r="I81" s="170">
        <f t="shared" ref="I81:AU81" si="41">I79-I80</f>
        <v>269201.64232500002</v>
      </c>
      <c r="J81" s="170">
        <f t="shared" si="41"/>
        <v>405608.11299096228</v>
      </c>
      <c r="K81" s="170">
        <f t="shared" si="41"/>
        <v>543232.69343997154</v>
      </c>
      <c r="L81" s="170">
        <f t="shared" si="41"/>
        <v>682086.26139239047</v>
      </c>
      <c r="M81" s="170">
        <f t="shared" si="41"/>
        <v>822179.79170662444</v>
      </c>
      <c r="N81" s="170">
        <f t="shared" si="41"/>
        <v>963524.35724656458</v>
      </c>
      <c r="O81" s="170">
        <f t="shared" si="41"/>
        <v>1106131.1297567764</v>
      </c>
      <c r="P81" s="170">
        <f t="shared" si="41"/>
        <v>1250011.3807455045</v>
      </c>
      <c r="Q81" s="170">
        <f t="shared" si="41"/>
        <v>1395176.482375562</v>
      </c>
      <c r="R81" s="170">
        <f t="shared" si="41"/>
        <v>1541637.9083631756</v>
      </c>
      <c r="S81" s="170">
        <f t="shared" si="41"/>
        <v>1689407.2348848586</v>
      </c>
      <c r="T81" s="170">
        <f t="shared" si="41"/>
        <v>1838496.1414923803</v>
      </c>
      <c r="U81" s="170">
        <f t="shared" si="41"/>
        <v>1988916.4120359072</v>
      </c>
      <c r="V81" s="170">
        <f t="shared" si="41"/>
        <v>2140679.9355953876</v>
      </c>
      <c r="W81" s="170">
        <f t="shared" si="41"/>
        <v>2293798.7074202546</v>
      </c>
      <c r="X81" s="170">
        <f t="shared" si="41"/>
        <v>2448284.8298775177</v>
      </c>
      <c r="Y81" s="170">
        <f t="shared" si="41"/>
        <v>2604150.5134083237</v>
      </c>
      <c r="Z81" s="170">
        <f t="shared" si="41"/>
        <v>2761408.0774930599</v>
      </c>
      <c r="AA81" s="170">
        <f t="shared" si="41"/>
        <v>2920069.9516250729</v>
      </c>
      <c r="AB81" s="170">
        <f t="shared" si="41"/>
        <v>3080148.6762930849</v>
      </c>
      <c r="AC81" s="170">
        <f t="shared" si="41"/>
        <v>3241656.9039723822</v>
      </c>
      <c r="AD81" s="170">
        <f t="shared" si="41"/>
        <v>3404607.4001248553</v>
      </c>
      <c r="AE81" s="170">
        <f t="shared" si="41"/>
        <v>133628.84044084698</v>
      </c>
      <c r="AF81" s="170">
        <f t="shared" si="41"/>
        <v>3734886.8306927471</v>
      </c>
      <c r="AG81" s="170">
        <f t="shared" si="41"/>
        <v>3734886.8306927471</v>
      </c>
      <c r="AH81" s="170">
        <f t="shared" si="41"/>
        <v>3734886.8306927471</v>
      </c>
      <c r="AI81" s="170">
        <f t="shared" si="41"/>
        <v>3734886.8306927471</v>
      </c>
      <c r="AJ81" s="170">
        <f t="shared" si="41"/>
        <v>3734886.8306927471</v>
      </c>
      <c r="AK81" s="170">
        <f t="shared" si="41"/>
        <v>3734886.8306927471</v>
      </c>
      <c r="AL81" s="170">
        <f t="shared" si="41"/>
        <v>3734886.8306927471</v>
      </c>
      <c r="AM81" s="170">
        <f t="shared" si="41"/>
        <v>3734886.8306927471</v>
      </c>
      <c r="AN81" s="170">
        <f t="shared" si="41"/>
        <v>3734886.8306927471</v>
      </c>
      <c r="AO81" s="170">
        <f t="shared" si="41"/>
        <v>3734886.8306927471</v>
      </c>
      <c r="AP81" s="170">
        <f t="shared" si="41"/>
        <v>3734886.8306927471</v>
      </c>
      <c r="AQ81" s="170">
        <f t="shared" si="41"/>
        <v>3734886.8306927471</v>
      </c>
      <c r="AR81" s="170">
        <f t="shared" si="41"/>
        <v>3734886.8306927471</v>
      </c>
      <c r="AS81" s="170">
        <f t="shared" si="41"/>
        <v>3734886.8306927471</v>
      </c>
      <c r="AT81" s="170">
        <f t="shared" si="41"/>
        <v>3734886.8306927471</v>
      </c>
      <c r="AU81" s="170">
        <f t="shared" si="41"/>
        <v>3734886.8306927471</v>
      </c>
    </row>
    <row r="82" spans="5:47" ht="15" customHeight="1" thickBot="1" x14ac:dyDescent="0.35">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47"/>
      <c r="AK82" s="147"/>
      <c r="AL82" s="147"/>
      <c r="AM82" s="147"/>
      <c r="AN82" s="147"/>
      <c r="AO82" s="147"/>
      <c r="AP82" s="147"/>
      <c r="AQ82" s="147"/>
      <c r="AR82" s="147"/>
      <c r="AS82" s="147"/>
      <c r="AT82" s="147"/>
      <c r="AU82" s="147"/>
    </row>
    <row r="83" spans="5:47" ht="15" customHeight="1" thickTop="1" x14ac:dyDescent="0.3">
      <c r="E83" s="132"/>
      <c r="H83" s="155"/>
    </row>
    <row r="85" spans="5:47" x14ac:dyDescent="0.3">
      <c r="I85" s="175"/>
      <c r="J85" s="176"/>
    </row>
    <row r="87" spans="5:47" x14ac:dyDescent="0.3">
      <c r="H87" s="138">
        <f>G3/G76</f>
        <v>1.0388977862488609</v>
      </c>
      <c r="I87" s="136"/>
      <c r="J87" s="136" t="s">
        <v>142</v>
      </c>
      <c r="K87" s="136"/>
      <c r="L87" s="439" t="s">
        <v>143</v>
      </c>
      <c r="M87" s="439"/>
      <c r="N87" s="439" t="s">
        <v>144</v>
      </c>
      <c r="O87" s="439"/>
      <c r="P87" s="439"/>
      <c r="Q87" s="439"/>
      <c r="R87" s="136"/>
    </row>
    <row r="88" spans="5:47" x14ac:dyDescent="0.3">
      <c r="E88" s="132"/>
      <c r="L88" s="128" t="s">
        <v>145</v>
      </c>
      <c r="M88" s="128" t="s">
        <v>146</v>
      </c>
      <c r="N88" s="128" t="s">
        <v>147</v>
      </c>
      <c r="O88" s="128" t="s">
        <v>148</v>
      </c>
      <c r="P88" s="128" t="s">
        <v>149</v>
      </c>
      <c r="Q88" s="128" t="s">
        <v>150</v>
      </c>
    </row>
    <row r="89" spans="5:47" x14ac:dyDescent="0.3">
      <c r="E89" s="132"/>
      <c r="H89" s="128" t="s">
        <v>151</v>
      </c>
    </row>
    <row r="90" spans="5:47" x14ac:dyDescent="0.3">
      <c r="H90" s="128" t="s">
        <v>152</v>
      </c>
    </row>
    <row r="91" spans="5:47" x14ac:dyDescent="0.3">
      <c r="H91" s="128" t="s">
        <v>153</v>
      </c>
    </row>
    <row r="92" spans="5:47" x14ac:dyDescent="0.3">
      <c r="H92" s="128" t="s">
        <v>154</v>
      </c>
    </row>
    <row r="93" spans="5:47" x14ac:dyDescent="0.3">
      <c r="H93" s="128" t="s">
        <v>155</v>
      </c>
    </row>
    <row r="95" spans="5:47" x14ac:dyDescent="0.3">
      <c r="H95" s="128" t="s">
        <v>156</v>
      </c>
    </row>
    <row r="97" spans="8:10" x14ac:dyDescent="0.3">
      <c r="H97" s="136">
        <v>500000</v>
      </c>
      <c r="I97" s="128" t="s">
        <v>157</v>
      </c>
      <c r="J97" s="128" t="s">
        <v>158</v>
      </c>
    </row>
  </sheetData>
  <mergeCells count="2">
    <mergeCell ref="L87:M87"/>
    <mergeCell ref="N87:Q87"/>
  </mergeCell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3E96D443-F328-4128-95C8-6790AC408ADC}">
          <x14:formula1>
            <xm:f>REF!$F$4:$F$54</xm:f>
          </x14:formula1>
          <xm:sqref>D9 D3</xm:sqref>
        </x14:dataValidation>
        <x14:dataValidation type="list" allowBlank="1" showInputMessage="1" showErrorMessage="1" xr:uid="{9265D31B-CB6F-41AE-8EFF-63FC04445548}">
          <x14:formula1>
            <xm:f>REF!$C$4:$C$104</xm:f>
          </x14:formula1>
          <xm:sqref>D8 D2</xm:sqref>
        </x14:dataValidation>
        <x14:dataValidation type="list" allowBlank="1" showInputMessage="1" showErrorMessage="1" xr:uid="{2D0FA818-A4E9-4BEF-B3C6-688A709635B9}">
          <x14:formula1>
            <xm:f>REF!$B$4:$B$104</xm:f>
          </x14:formula1>
          <xm:sqref>D4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82595-C8AF-40B9-943E-AC2D050730C1}">
  <dimension ref="A2:AE17"/>
  <sheetViews>
    <sheetView workbookViewId="0">
      <selection activeCell="D17" sqref="D17"/>
    </sheetView>
  </sheetViews>
  <sheetFormatPr defaultRowHeight="14.4" x14ac:dyDescent="0.3"/>
  <cols>
    <col min="2" max="2" width="8.5546875" customWidth="1"/>
    <col min="3" max="3" width="39.44140625" style="215" customWidth="1"/>
    <col min="4" max="4" width="13.6640625" bestFit="1" customWidth="1"/>
    <col min="5" max="5" width="15.109375" bestFit="1" customWidth="1"/>
    <col min="6" max="8" width="16.5546875" bestFit="1" customWidth="1"/>
    <col min="9" max="10" width="11.5546875" bestFit="1" customWidth="1"/>
    <col min="11" max="16" width="12.33203125" bestFit="1" customWidth="1"/>
    <col min="17" max="20" width="12.44140625" bestFit="1" customWidth="1"/>
    <col min="21" max="22" width="13" bestFit="1" customWidth="1"/>
    <col min="23" max="29" width="9.6640625" style="394" bestFit="1" customWidth="1"/>
    <col min="30" max="31" width="8.88671875" style="394"/>
  </cols>
  <sheetData>
    <row r="2" spans="1:31" x14ac:dyDescent="0.3">
      <c r="C2" s="392" t="s">
        <v>0</v>
      </c>
      <c r="D2">
        <f>'5. Site Cashflow'!H15</f>
        <v>1</v>
      </c>
      <c r="E2">
        <f>'5. Site Cashflow'!I15</f>
        <v>2</v>
      </c>
      <c r="F2">
        <f>'5. Site Cashflow'!J15</f>
        <v>3</v>
      </c>
      <c r="G2">
        <f>'5. Site Cashflow'!K15</f>
        <v>4</v>
      </c>
      <c r="H2">
        <f>'5. Site Cashflow'!L15</f>
        <v>5</v>
      </c>
      <c r="I2">
        <f>'5. Site Cashflow'!M15</f>
        <v>6</v>
      </c>
      <c r="J2">
        <f>'5. Site Cashflow'!N15</f>
        <v>7</v>
      </c>
      <c r="K2">
        <f>'5. Site Cashflow'!O15</f>
        <v>8</v>
      </c>
      <c r="L2">
        <f>'5. Site Cashflow'!P15</f>
        <v>9</v>
      </c>
      <c r="M2">
        <f>'5. Site Cashflow'!Q15</f>
        <v>10</v>
      </c>
      <c r="N2">
        <f>'5. Site Cashflow'!R15</f>
        <v>11</v>
      </c>
      <c r="O2">
        <f>'5. Site Cashflow'!S15</f>
        <v>12</v>
      </c>
      <c r="P2">
        <f>'5. Site Cashflow'!T15</f>
        <v>13</v>
      </c>
      <c r="Q2">
        <f>'5. Site Cashflow'!U15</f>
        <v>14</v>
      </c>
      <c r="R2">
        <f>'5. Site Cashflow'!V15</f>
        <v>15</v>
      </c>
      <c r="S2">
        <f>'5. Site Cashflow'!W15</f>
        <v>16</v>
      </c>
      <c r="T2">
        <f>'5. Site Cashflow'!X15</f>
        <v>17</v>
      </c>
      <c r="U2">
        <f>'5. Site Cashflow'!Y15</f>
        <v>18</v>
      </c>
      <c r="V2">
        <f>'5. Site Cashflow'!Z15</f>
        <v>19</v>
      </c>
      <c r="W2" s="394">
        <f>'5. Site Cashflow'!AA15</f>
        <v>20</v>
      </c>
      <c r="X2" s="394">
        <f>'5. Site Cashflow'!AB15</f>
        <v>21</v>
      </c>
      <c r="Y2" s="394">
        <f>'5. Site Cashflow'!AC15</f>
        <v>22</v>
      </c>
      <c r="Z2" s="394">
        <f>'5. Site Cashflow'!AD15</f>
        <v>23</v>
      </c>
      <c r="AA2" s="394">
        <f>'5. Site Cashflow'!AE15</f>
        <v>24</v>
      </c>
      <c r="AB2" s="394">
        <f>'5. Site Cashflow'!AF15</f>
        <v>25</v>
      </c>
    </row>
    <row r="3" spans="1:31" x14ac:dyDescent="0.3">
      <c r="C3" s="336" t="s">
        <v>41</v>
      </c>
      <c r="D3">
        <f>'5. Site Cashflow'!H16</f>
        <v>1</v>
      </c>
      <c r="E3">
        <f>'5. Site Cashflow'!I16</f>
        <v>1</v>
      </c>
      <c r="F3">
        <f>'5. Site Cashflow'!J16</f>
        <v>1</v>
      </c>
      <c r="G3">
        <f>'5. Site Cashflow'!K16</f>
        <v>1</v>
      </c>
      <c r="H3">
        <f>'5. Site Cashflow'!L16</f>
        <v>1</v>
      </c>
      <c r="I3">
        <f>'5. Site Cashflow'!M16</f>
        <v>1</v>
      </c>
      <c r="J3">
        <f>'5. Site Cashflow'!N16</f>
        <v>1</v>
      </c>
      <c r="K3">
        <f>'5. Site Cashflow'!O16</f>
        <v>1</v>
      </c>
      <c r="L3">
        <f>'5. Site Cashflow'!P16</f>
        <v>1</v>
      </c>
      <c r="M3">
        <f>'5. Site Cashflow'!Q16</f>
        <v>1</v>
      </c>
      <c r="N3">
        <f>'5. Site Cashflow'!R16</f>
        <v>1</v>
      </c>
      <c r="O3">
        <f>'5. Site Cashflow'!S16</f>
        <v>1</v>
      </c>
      <c r="P3">
        <f>'5. Site Cashflow'!T16</f>
        <v>1</v>
      </c>
      <c r="Q3">
        <f>'5. Site Cashflow'!U16</f>
        <v>1</v>
      </c>
      <c r="R3">
        <f>'5. Site Cashflow'!V16</f>
        <v>1</v>
      </c>
      <c r="S3">
        <f>'5. Site Cashflow'!W16</f>
        <v>1</v>
      </c>
      <c r="T3">
        <f>'5. Site Cashflow'!X16</f>
        <v>1</v>
      </c>
      <c r="U3">
        <f>'5. Site Cashflow'!Y16</f>
        <v>1</v>
      </c>
      <c r="V3">
        <f>'5. Site Cashflow'!Z16</f>
        <v>1</v>
      </c>
      <c r="W3" s="394">
        <f>'5. Site Cashflow'!AA16</f>
        <v>1</v>
      </c>
      <c r="X3" s="394">
        <f>'5. Site Cashflow'!AB16</f>
        <v>1</v>
      </c>
      <c r="Y3" s="394">
        <f>'5. Site Cashflow'!AC16</f>
        <v>1</v>
      </c>
      <c r="Z3" s="394">
        <f>'5. Site Cashflow'!AD16</f>
        <v>1</v>
      </c>
      <c r="AA3" s="394">
        <f>'5. Site Cashflow'!AE16</f>
        <v>1</v>
      </c>
      <c r="AB3" s="394">
        <f>'5. Site Cashflow'!AF16</f>
        <v>1</v>
      </c>
    </row>
    <row r="4" spans="1:31" ht="17.399999999999999" customHeight="1" x14ac:dyDescent="0.3">
      <c r="C4" s="336" t="s">
        <v>42</v>
      </c>
      <c r="D4" s="386">
        <f>'5. Site Cashflow'!H17</f>
        <v>1.4E-2</v>
      </c>
      <c r="E4" s="386">
        <f>'5. Site Cashflow'!I17</f>
        <v>1.4E-2</v>
      </c>
      <c r="F4" s="386">
        <f>'5. Site Cashflow'!J17</f>
        <v>1.4E-2</v>
      </c>
      <c r="G4" s="386">
        <f>'5. Site Cashflow'!K17</f>
        <v>1.4E-2</v>
      </c>
      <c r="H4" s="386">
        <f>'5. Site Cashflow'!L17</f>
        <v>1.4E-2</v>
      </c>
      <c r="I4" s="386">
        <f>'5. Site Cashflow'!M17</f>
        <v>1.4E-2</v>
      </c>
      <c r="J4" s="386">
        <f>'5. Site Cashflow'!N17</f>
        <v>1.4E-2</v>
      </c>
      <c r="K4" s="386">
        <f>'5. Site Cashflow'!O17</f>
        <v>1.4E-2</v>
      </c>
      <c r="L4" s="386">
        <f>'5. Site Cashflow'!P17</f>
        <v>1.4E-2</v>
      </c>
      <c r="M4" s="386">
        <f>'5. Site Cashflow'!Q17</f>
        <v>1.4E-2</v>
      </c>
      <c r="N4" s="386">
        <f>'5. Site Cashflow'!R17</f>
        <v>1.4E-2</v>
      </c>
      <c r="O4" s="386">
        <f>'5. Site Cashflow'!S17</f>
        <v>1.4E-2</v>
      </c>
      <c r="P4" s="386">
        <f>'5. Site Cashflow'!T17</f>
        <v>1.4E-2</v>
      </c>
      <c r="Q4" s="386">
        <f>'5. Site Cashflow'!U17</f>
        <v>1.4E-2</v>
      </c>
      <c r="R4" s="386">
        <f>'5. Site Cashflow'!V17</f>
        <v>1.4E-2</v>
      </c>
      <c r="S4" s="386">
        <f>'5. Site Cashflow'!W17</f>
        <v>1.4E-2</v>
      </c>
      <c r="T4" s="386">
        <f>'5. Site Cashflow'!X17</f>
        <v>1.4E-2</v>
      </c>
      <c r="U4" s="386">
        <f>'5. Site Cashflow'!Y17</f>
        <v>1.4E-2</v>
      </c>
      <c r="V4" s="386">
        <f>'5. Site Cashflow'!Z17</f>
        <v>1.4E-2</v>
      </c>
      <c r="W4" s="395">
        <f>'5. Site Cashflow'!AA17</f>
        <v>1.4E-2</v>
      </c>
      <c r="X4" s="395">
        <f>'5. Site Cashflow'!AB17</f>
        <v>1.4E-2</v>
      </c>
      <c r="Y4" s="395">
        <f>'5. Site Cashflow'!AC17</f>
        <v>1.4E-2</v>
      </c>
      <c r="Z4" s="395">
        <f>'5. Site Cashflow'!AD17</f>
        <v>1.4E-2</v>
      </c>
      <c r="AA4" s="395">
        <f>'5. Site Cashflow'!AE17</f>
        <v>1.4E-2</v>
      </c>
      <c r="AB4" s="395">
        <f>'5. Site Cashflow'!AF17</f>
        <v>1.4E-2</v>
      </c>
    </row>
    <row r="5" spans="1:31" s="390" customFormat="1" x14ac:dyDescent="0.3">
      <c r="A5"/>
      <c r="B5"/>
      <c r="C5" s="392" t="s">
        <v>421</v>
      </c>
      <c r="D5" s="390">
        <f>'5. Site Cashflow'!$H$69+'5. Site Cashflow'!H58</f>
        <v>48081.63747282869</v>
      </c>
      <c r="E5" s="390">
        <f>'5. Site Cashflow'!$H$69+'5. Site Cashflow'!I58</f>
        <v>48402.587654090778</v>
      </c>
      <c r="F5" s="390">
        <f>'5. Site Cashflow'!$H$69+'5. Site Cashflow'!J58</f>
        <v>48727.547114538866</v>
      </c>
      <c r="G5" s="390">
        <f>'5. Site Cashflow'!$H$69+'5. Site Cashflow'!K58</f>
        <v>49056.551256416395</v>
      </c>
      <c r="H5" s="390">
        <f>'5. Site Cashflow'!$H$69+'5. Site Cashflow'!L58</f>
        <v>49389.63582076403</v>
      </c>
      <c r="I5" s="390">
        <f>'5. Site Cashflow'!$H$69+'5. Site Cashflow'!M58</f>
        <v>49726.836890411883</v>
      </c>
      <c r="J5" s="390">
        <f>'5. Site Cashflow'!$H$69+'5. Site Cashflow'!N58</f>
        <v>50068.190892999264</v>
      </c>
      <c r="K5" s="390">
        <f>'5. Site Cashflow'!$H$69+'5. Site Cashflow'!O58</f>
        <v>50413.734604021789</v>
      </c>
      <c r="L5" s="390">
        <f>'5. Site Cashflow'!$H$69+'5. Site Cashflow'!P58</f>
        <v>50763.505149905985</v>
      </c>
      <c r="M5" s="390">
        <f>'5. Site Cashflow'!$H$69+'5. Site Cashflow'!Q58</f>
        <v>51117.54001111204</v>
      </c>
      <c r="N5" s="390">
        <f>'5. Site Cashflow'!$H$69+'5. Site Cashflow'!R58</f>
        <v>51475.877025264766</v>
      </c>
      <c r="O5" s="390">
        <f>'5. Site Cashflow'!$H$69+'5. Site Cashflow'!S58</f>
        <v>51838.554390312689</v>
      </c>
      <c r="P5" s="390">
        <f>'5. Site Cashflow'!$H$69+'5. Site Cashflow'!T58</f>
        <v>52205.610667716144</v>
      </c>
      <c r="Q5" s="390">
        <f>'5. Site Cashflow'!$H$69+'5. Site Cashflow'!U58</f>
        <v>52577.08478566417</v>
      </c>
      <c r="R5" s="390">
        <f>'5. Site Cashflow'!$H$69+'5. Site Cashflow'!V58</f>
        <v>52953.016042320618</v>
      </c>
      <c r="S5" s="390">
        <f>'5. Site Cashflow'!$H$69+'5. Site Cashflow'!W58</f>
        <v>53333.44410909967</v>
      </c>
      <c r="T5" s="390">
        <f>'5. Site Cashflow'!$H$69+'5. Site Cashflow'!X58</f>
        <v>53718.409033971075</v>
      </c>
      <c r="U5" s="390">
        <f>'5. Site Cashflow'!$H$69+'5. Site Cashflow'!Y58</f>
        <v>54107.951244795622</v>
      </c>
      <c r="V5" s="390">
        <f>'5. Site Cashflow'!$H$69+'5. Site Cashflow'!Z58</f>
        <v>54502.111552690309</v>
      </c>
      <c r="W5" s="396">
        <f>'5. Site Cashflow'!$H$69+'5. Site Cashflow'!AA58</f>
        <v>54900.931155424667</v>
      </c>
      <c r="X5" s="396">
        <f>'5. Site Cashflow'!$H$69+'5. Site Cashflow'!AB58</f>
        <v>55304.451640847357</v>
      </c>
      <c r="Y5" s="396">
        <f>'5. Site Cashflow'!$H$69+'5. Site Cashflow'!AC58</f>
        <v>55712.714990344139</v>
      </c>
      <c r="Z5" s="396">
        <f>'5. Site Cashflow'!$H$69+'5. Site Cashflow'!AD58</f>
        <v>56125.763582327061</v>
      </c>
      <c r="AA5" s="396">
        <f>'5. Site Cashflow'!$H$69+'5. Site Cashflow'!AE58</f>
        <v>56543.640195755259</v>
      </c>
      <c r="AB5" s="396">
        <f>'5. Site Cashflow'!$H$69+'5. Site Cashflow'!AF58</f>
        <v>17176.921018835616</v>
      </c>
      <c r="AC5" s="396"/>
      <c r="AD5" s="396"/>
      <c r="AE5" s="396"/>
    </row>
    <row r="6" spans="1:31" s="390" customFormat="1" x14ac:dyDescent="0.3">
      <c r="A6"/>
      <c r="B6"/>
      <c r="C6" s="393"/>
      <c r="W6" s="396"/>
      <c r="X6" s="396"/>
      <c r="Y6" s="396"/>
      <c r="Z6" s="396"/>
      <c r="AA6" s="396"/>
      <c r="AB6" s="396"/>
      <c r="AC6" s="396"/>
      <c r="AD6" s="396"/>
      <c r="AE6" s="396"/>
    </row>
    <row r="7" spans="1:31" s="390" customFormat="1" x14ac:dyDescent="0.3">
      <c r="A7"/>
      <c r="B7"/>
      <c r="C7" s="11" t="s">
        <v>427</v>
      </c>
      <c r="W7" s="396"/>
      <c r="X7" s="396"/>
      <c r="Y7" s="396"/>
      <c r="Z7" s="396"/>
      <c r="AA7" s="396"/>
      <c r="AB7" s="396"/>
      <c r="AC7" s="396"/>
      <c r="AD7" s="396"/>
      <c r="AE7" s="396"/>
    </row>
    <row r="8" spans="1:31" x14ac:dyDescent="0.3">
      <c r="C8" s="392" t="str">
        <f>'2. Hardware'!C4</f>
        <v>Longi Solar LR4-72HPH-455M</v>
      </c>
      <c r="D8" s="1" t="s">
        <v>22</v>
      </c>
      <c r="E8" s="388">
        <f>D5/'2. Hardware'!$E$4</f>
        <v>114.48008922102069</v>
      </c>
      <c r="F8" s="388">
        <f>E5/'2. Hardware'!$E$4</f>
        <v>115.24425631926376</v>
      </c>
      <c r="G8" s="388">
        <f>F5/'2. Hardware'!$E$4</f>
        <v>116.01796932033064</v>
      </c>
      <c r="H8" s="388">
        <f>G5/'2. Hardware'!$E$4</f>
        <v>116.80131251527713</v>
      </c>
      <c r="I8" s="388">
        <f>H5/'2. Hardware'!$E$4</f>
        <v>117.59437100181911</v>
      </c>
      <c r="J8" s="388">
        <f>I5/'2. Hardware'!$E$4</f>
        <v>118.39723069145687</v>
      </c>
      <c r="K8" s="388">
        <f>J5/'2. Hardware'!$E$4</f>
        <v>119.20997831666492</v>
      </c>
      <c r="L8" s="388">
        <f>K5/'2. Hardware'!$E$4</f>
        <v>120.03270143814711</v>
      </c>
      <c r="M8" s="388">
        <f>L5/'2. Hardware'!$E$4</f>
        <v>120.86548845215711</v>
      </c>
      <c r="N8" s="388">
        <f>M5/'2. Hardware'!$E$4</f>
        <v>121.70842859788581</v>
      </c>
      <c r="O8" s="388">
        <f>N5/'2. Hardware'!$E$4</f>
        <v>122.56161196491611</v>
      </c>
      <c r="P8" s="388">
        <f>O5/'2. Hardware'!$E$4</f>
        <v>123.4251295007445</v>
      </c>
      <c r="Q8" s="388">
        <f>P5/'2. Hardware'!$E$4</f>
        <v>124.29907301837177</v>
      </c>
      <c r="R8" s="388">
        <f>Q5/'2. Hardware'!$E$4</f>
        <v>125.18353520396231</v>
      </c>
      <c r="S8" s="388">
        <f>R5/'2. Hardware'!$E$4</f>
        <v>126.07860962457291</v>
      </c>
      <c r="T8" s="388">
        <f>S5/'2. Hardware'!$E$4</f>
        <v>126.98439073595159</v>
      </c>
      <c r="U8" s="388">
        <f>T5/'2. Hardware'!$E$4</f>
        <v>127.90097389040731</v>
      </c>
      <c r="V8" s="388">
        <f>U5/'2. Hardware'!$E$4</f>
        <v>128.82845534475149</v>
      </c>
      <c r="W8" s="397">
        <f>V5/'2. Hardware'!$E$4</f>
        <v>129.76693226831026</v>
      </c>
      <c r="X8" s="397">
        <f>W5/'2. Hardware'!$E$4</f>
        <v>130.71650275101112</v>
      </c>
      <c r="Y8" s="397">
        <f>X5/'2. Hardware'!$E$4</f>
        <v>131.67726581154133</v>
      </c>
      <c r="Z8" s="397">
        <f>Y5/'2. Hardware'!$E$4</f>
        <v>132.64932140558128</v>
      </c>
      <c r="AA8" s="397">
        <f>Z5/'2. Hardware'!$E$4</f>
        <v>133.63277043411205</v>
      </c>
      <c r="AB8" s="397">
        <f>AA5/'2. Hardware'!$E$4</f>
        <v>134.62771475179824</v>
      </c>
      <c r="AC8" s="397">
        <f>AB5/'2. Hardware'!$E$4</f>
        <v>40.897430997227659</v>
      </c>
    </row>
    <row r="9" spans="1:31" x14ac:dyDescent="0.3">
      <c r="C9" s="392" t="s">
        <v>422</v>
      </c>
      <c r="D9" s="1" t="s">
        <v>22</v>
      </c>
      <c r="E9" s="387">
        <f>'4b. Energy Summaries'!$F$4*E8</f>
        <v>90238.930328469563</v>
      </c>
      <c r="F9" s="387">
        <f>'4b. Energy Summaries'!$F$4*F8</f>
        <v>90841.285043659649</v>
      </c>
      <c r="G9" s="387">
        <f>'4b. Energy Summaries'!$F$4*G8</f>
        <v>91451.164316750626</v>
      </c>
      <c r="H9" s="387">
        <f>'4b. Energy Summaries'!$F$4*H8</f>
        <v>92068.634590167203</v>
      </c>
      <c r="I9" s="387">
        <f>'4b. Energy Summaries'!$F$4*I8</f>
        <v>92693.762942183908</v>
      </c>
      <c r="J9" s="387">
        <f>'4b. Energy Summaries'!$F$4*J8</f>
        <v>93326.617092540881</v>
      </c>
      <c r="K9" s="387">
        <f>'4b. Energy Summaries'!$F$4*K8</f>
        <v>93967.265408111125</v>
      </c>
      <c r="L9" s="387">
        <f>'4b. Energy Summaries'!$F$4*L8</f>
        <v>94615.77690861946</v>
      </c>
      <c r="M9" s="387">
        <f>'4b. Energy Summaries'!$F$4*M8</f>
        <v>95272.221272412848</v>
      </c>
      <c r="N9" s="387">
        <f>'4b. Energy Summaries'!$F$4*N8</f>
        <v>95936.6688422835</v>
      </c>
      <c r="O9" s="387">
        <f>'4b. Energy Summaries'!$F$4*O8</f>
        <v>96609.190631345118</v>
      </c>
      <c r="P9" s="387">
        <f>'4b. Energy Summaries'!$F$4*P8</f>
        <v>97289.858328961855</v>
      </c>
      <c r="Q9" s="387">
        <f>'4b. Energy Summaries'!$F$4*Q8</f>
        <v>97978.744306731547</v>
      </c>
      <c r="R9" s="387">
        <f>'4b. Energy Summaries'!$F$4*R8</f>
        <v>98675.921624523282</v>
      </c>
      <c r="S9" s="387">
        <f>'4b. Energy Summaries'!$F$4*S8</f>
        <v>99381.464036569596</v>
      </c>
      <c r="T9" s="387">
        <f>'4b. Energy Summaries'!$F$4*T8</f>
        <v>100095.44599761385</v>
      </c>
      <c r="U9" s="387">
        <f>'4b. Energy Summaries'!$F$4*U8</f>
        <v>100817.94266911356</v>
      </c>
      <c r="V9" s="387">
        <f>'4b. Energy Summaries'!$F$4*V8</f>
        <v>101549.02992550036</v>
      </c>
      <c r="W9" s="398">
        <f>'4b. Energy Summaries'!$F$4*W8</f>
        <v>102288.78436049556</v>
      </c>
      <c r="X9" s="398">
        <f>'4b. Energy Summaries'!$F$4*X8</f>
        <v>103037.28329348452</v>
      </c>
      <c r="Y9" s="398">
        <f>'4b. Energy Summaries'!$F$4*Y8</f>
        <v>103794.60477594746</v>
      </c>
      <c r="Z9" s="398">
        <f>'4b. Energy Summaries'!$F$4*Z8</f>
        <v>104560.82759794944</v>
      </c>
      <c r="AA9" s="398">
        <f>'4b. Energy Summaries'!$F$4*AA8</f>
        <v>105336.03129468882</v>
      </c>
      <c r="AB9" s="398">
        <f>'4b. Energy Summaries'!$F$4*AB8</f>
        <v>106120.29615310497</v>
      </c>
      <c r="AC9" s="398">
        <f>'4b. Energy Summaries'!$F$4*AC8</f>
        <v>32237.399983564701</v>
      </c>
    </row>
    <row r="10" spans="1:31" s="30" customFormat="1" x14ac:dyDescent="0.3">
      <c r="A10"/>
      <c r="B10"/>
      <c r="C10" s="336" t="s">
        <v>423</v>
      </c>
      <c r="D10" s="1" t="s">
        <v>22</v>
      </c>
      <c r="E10" s="30">
        <f>'5. Site Cashflow'!$H$46*E9</f>
        <v>8480.9721439100613</v>
      </c>
      <c r="F10" s="30">
        <f>'5. Site Cashflow'!$H$46*F9+E10</f>
        <v>17018.55570311156</v>
      </c>
      <c r="G10" s="30">
        <f>'5. Site Cashflow'!$H$46*G9+F10</f>
        <v>25613.457862028339</v>
      </c>
      <c r="H10" s="30">
        <f>'5. Site Cashflow'!$H$46*H9+G10</f>
        <v>34266.392049577073</v>
      </c>
      <c r="I10" s="30">
        <f>'5. Site Cashflow'!$H$46*I9+H10</f>
        <v>42978.077998926659</v>
      </c>
      <c r="J10" s="30">
        <f>'5. Site Cashflow'!$H$46*J9+I10</f>
        <v>51749.241807785424</v>
      </c>
      <c r="K10" s="30">
        <f>'5. Site Cashflow'!$H$46*K9+J10</f>
        <v>60580.615999220943</v>
      </c>
      <c r="L10" s="30">
        <f>'5. Site Cashflow'!$H$46*L9+K10</f>
        <v>69472.939583017345</v>
      </c>
      <c r="M10" s="30">
        <f>'5. Site Cashflow'!$H$46*M9+L10</f>
        <v>78426.958117574948</v>
      </c>
      <c r="N10" s="30">
        <f>'5. Site Cashflow'!$H$46*N9+M10</f>
        <v>87443.423772357157</v>
      </c>
      <c r="O10" s="30">
        <f>'5. Site Cashflow'!$H$46*O9+N10</f>
        <v>96523.095390889634</v>
      </c>
      <c r="P10" s="30">
        <f>'5. Site Cashflow'!$H$46*P9+O10</f>
        <v>105666.73855431669</v>
      </c>
      <c r="Q10" s="30">
        <f>'5. Site Cashflow'!$H$46*Q9+P10</f>
        <v>114875.12564552003</v>
      </c>
      <c r="R10" s="30">
        <f>'5. Site Cashflow'!$H$46*R9+Q10</f>
        <v>124149.03591380488</v>
      </c>
      <c r="S10" s="30">
        <f>'5. Site Cashflow'!$H$46*S9+R10</f>
        <v>133489.25554015869</v>
      </c>
      <c r="T10" s="30">
        <f>'5. Site Cashflow'!$H$46*T9+S10</f>
        <v>142896.57770308768</v>
      </c>
      <c r="U10" s="30">
        <f>'5. Site Cashflow'!$H$46*U9+T10</f>
        <v>152371.80264503625</v>
      </c>
      <c r="V10" s="30">
        <f>'5. Site Cashflow'!$H$46*V9+U10</f>
        <v>161915.73773939483</v>
      </c>
      <c r="W10" s="399">
        <f>'5. Site Cashflow'!$H$46*W9+V10</f>
        <v>171529.19755810121</v>
      </c>
      <c r="X10" s="399">
        <f>'5. Site Cashflow'!$H$46*X9+W10</f>
        <v>181213.00393984106</v>
      </c>
      <c r="Y10" s="399">
        <f>'5. Site Cashflow'!$H$46*Y9+X10</f>
        <v>190967.98605885278</v>
      </c>
      <c r="Z10" s="399">
        <f>'5. Site Cashflow'!$H$46*Z9+Y10</f>
        <v>200794.98049434225</v>
      </c>
      <c r="AA10" s="399">
        <f>'5. Site Cashflow'!$H$46*AA9+Z10</f>
        <v>210694.83130051309</v>
      </c>
      <c r="AB10" s="399">
        <f>'5. Site Cashflow'!$H$46*AB9+AA10</f>
        <v>220668.39007721798</v>
      </c>
      <c r="AC10" s="399">
        <f>'5. Site Cashflow'!$H$46*AC9+AB10</f>
        <v>223698.1743428061</v>
      </c>
      <c r="AD10" s="399"/>
      <c r="AE10" s="399"/>
    </row>
    <row r="11" spans="1:31" s="30" customFormat="1" x14ac:dyDescent="0.3">
      <c r="A11"/>
      <c r="B11"/>
      <c r="C11" s="392" t="s">
        <v>424</v>
      </c>
      <c r="D11" s="1" t="s">
        <v>22</v>
      </c>
      <c r="E11" s="391">
        <f>'5. Site Cashflow'!$D$8*E10</f>
        <v>4240.4860719550306</v>
      </c>
      <c r="F11" s="391">
        <f>'5. Site Cashflow'!$D$8*F10</f>
        <v>8509.2778515557802</v>
      </c>
      <c r="G11" s="391">
        <f>'5. Site Cashflow'!$D$8*G10</f>
        <v>12806.72893101417</v>
      </c>
      <c r="H11" s="391">
        <f>'5. Site Cashflow'!$D$8*H10</f>
        <v>17133.196024788536</v>
      </c>
      <c r="I11" s="391">
        <f>'5. Site Cashflow'!$D$8*I10</f>
        <v>21489.03899946333</v>
      </c>
      <c r="J11" s="391">
        <f>'5. Site Cashflow'!$D$8*J10</f>
        <v>25874.620903892712</v>
      </c>
      <c r="K11" s="391">
        <f>'5. Site Cashflow'!$D$8*K10</f>
        <v>30290.307999610472</v>
      </c>
      <c r="L11" s="391">
        <f>'5. Site Cashflow'!$D$8*L10</f>
        <v>34736.469791508673</v>
      </c>
      <c r="M11" s="391">
        <f>'5. Site Cashflow'!$D$8*M10</f>
        <v>39213.479058787474</v>
      </c>
      <c r="N11" s="391">
        <f>'5. Site Cashflow'!$D$8*N10</f>
        <v>43721.711886178578</v>
      </c>
      <c r="O11" s="391">
        <f>'5. Site Cashflow'!$D$8*O10</f>
        <v>48261.547695444817</v>
      </c>
      <c r="P11" s="391">
        <f>'5. Site Cashflow'!$D$8*P10</f>
        <v>52833.369277158345</v>
      </c>
      <c r="Q11" s="391">
        <f>'5. Site Cashflow'!$D$8*Q10</f>
        <v>57437.562822760017</v>
      </c>
      <c r="R11" s="391">
        <f>'5. Site Cashflow'!$D$8*R10</f>
        <v>62074.51795690244</v>
      </c>
      <c r="S11" s="391">
        <f>'5. Site Cashflow'!$D$8*S10</f>
        <v>66744.627770079343</v>
      </c>
      <c r="T11" s="391">
        <f>'5. Site Cashflow'!$D$8*T10</f>
        <v>71448.288851543839</v>
      </c>
      <c r="U11" s="391">
        <f>'5. Site Cashflow'!$D$8*U10</f>
        <v>76185.901322518126</v>
      </c>
      <c r="V11" s="391">
        <f>'5. Site Cashflow'!$D$8*V10</f>
        <v>80957.868869697413</v>
      </c>
      <c r="W11" s="400">
        <f>'5. Site Cashflow'!$D$8*W10</f>
        <v>85764.598779050604</v>
      </c>
      <c r="X11" s="400">
        <f>'5. Site Cashflow'!$D$8*X10</f>
        <v>90606.50196992053</v>
      </c>
      <c r="Y11" s="400">
        <f>'5. Site Cashflow'!$D$8*Y10</f>
        <v>95483.99302942639</v>
      </c>
      <c r="Z11" s="400">
        <f>'5. Site Cashflow'!$D$8*Z10</f>
        <v>100397.49024717112</v>
      </c>
      <c r="AA11" s="400">
        <f>'5. Site Cashflow'!$D$8*AA10</f>
        <v>105347.41565025655</v>
      </c>
      <c r="AB11" s="400">
        <f>'5. Site Cashflow'!$D$8*AB10</f>
        <v>110334.19503860899</v>
      </c>
      <c r="AC11" s="400">
        <f>'5. Site Cashflow'!$D$8*AC10</f>
        <v>111849.08717140305</v>
      </c>
      <c r="AD11" s="400"/>
      <c r="AE11" s="399"/>
    </row>
    <row r="12" spans="1:31" s="30" customFormat="1" x14ac:dyDescent="0.3">
      <c r="A12"/>
      <c r="B12"/>
      <c r="C12" s="392" t="s">
        <v>425</v>
      </c>
      <c r="D12" s="1" t="s">
        <v>22</v>
      </c>
      <c r="E12" s="391">
        <f>'5. Site Cashflow'!$G$59*E10</f>
        <v>4240.4860719550306</v>
      </c>
      <c r="F12" s="391">
        <f>'5. Site Cashflow'!$G$59*F10</f>
        <v>8509.2778515557802</v>
      </c>
      <c r="G12" s="391">
        <f>'5. Site Cashflow'!$G$59*G10</f>
        <v>12806.72893101417</v>
      </c>
      <c r="H12" s="391">
        <f>'5. Site Cashflow'!$G$59*H10</f>
        <v>17133.196024788536</v>
      </c>
      <c r="I12" s="391">
        <f>'5. Site Cashflow'!$G$59*I10</f>
        <v>21489.03899946333</v>
      </c>
      <c r="J12" s="391">
        <f>'5. Site Cashflow'!$G$59*J10</f>
        <v>25874.620903892712</v>
      </c>
      <c r="K12" s="391">
        <f>'5. Site Cashflow'!$G$59*K10</f>
        <v>30290.307999610472</v>
      </c>
      <c r="L12" s="391">
        <f>'5. Site Cashflow'!$G$59*L10</f>
        <v>34736.469791508673</v>
      </c>
      <c r="M12" s="391">
        <f>'5. Site Cashflow'!$G$59*M10</f>
        <v>39213.479058787474</v>
      </c>
      <c r="N12" s="391">
        <f>'5. Site Cashflow'!$G$59*N10</f>
        <v>43721.711886178578</v>
      </c>
      <c r="O12" s="391">
        <f>'5. Site Cashflow'!$G$59*O10</f>
        <v>48261.547695444817</v>
      </c>
      <c r="P12" s="391">
        <f>'5. Site Cashflow'!$G$59*P10</f>
        <v>52833.369277158345</v>
      </c>
      <c r="Q12" s="391">
        <f>'5. Site Cashflow'!$G$59*Q10</f>
        <v>57437.562822760017</v>
      </c>
      <c r="R12" s="391">
        <f>'5. Site Cashflow'!$G$59*R10</f>
        <v>62074.51795690244</v>
      </c>
      <c r="S12" s="391">
        <f>'5. Site Cashflow'!$G$59*S10</f>
        <v>66744.627770079343</v>
      </c>
      <c r="T12" s="391">
        <f>'5. Site Cashflow'!$G$59*T10</f>
        <v>71448.288851543839</v>
      </c>
      <c r="U12" s="391">
        <f>'5. Site Cashflow'!$G$59*U10</f>
        <v>76185.901322518126</v>
      </c>
      <c r="V12" s="391">
        <f>'5. Site Cashflow'!$G$59*V10</f>
        <v>80957.868869697413</v>
      </c>
      <c r="W12" s="400">
        <f>'5. Site Cashflow'!$G$59*W10</f>
        <v>85764.598779050604</v>
      </c>
      <c r="X12" s="400">
        <f>'5. Site Cashflow'!$G$59*X10</f>
        <v>90606.50196992053</v>
      </c>
      <c r="Y12" s="400">
        <f>'5. Site Cashflow'!$G$59*Y10</f>
        <v>95483.99302942639</v>
      </c>
      <c r="Z12" s="400">
        <f>'5. Site Cashflow'!$G$59*Z10</f>
        <v>100397.49024717112</v>
      </c>
      <c r="AA12" s="400">
        <f>'5. Site Cashflow'!$G$59*AA10</f>
        <v>105347.41565025655</v>
      </c>
      <c r="AB12" s="400">
        <f>'5. Site Cashflow'!$G$59*AB10</f>
        <v>110334.19503860899</v>
      </c>
      <c r="AC12" s="400">
        <f>'5. Site Cashflow'!$G$59*AC10</f>
        <v>111849.08717140305</v>
      </c>
      <c r="AD12" s="400"/>
      <c r="AE12" s="399"/>
    </row>
    <row r="13" spans="1:31" x14ac:dyDescent="0.3">
      <c r="C13" s="392" t="s">
        <v>426</v>
      </c>
      <c r="D13" s="1" t="s">
        <v>22</v>
      </c>
      <c r="E13" s="389">
        <f>E12/'5. Site Cashflow'!$G$21</f>
        <v>1.3449051925008026E-3</v>
      </c>
      <c r="F13" s="389">
        <f>F12/'5. Site Cashflow'!$G$21</f>
        <v>2.6987877740424293E-3</v>
      </c>
      <c r="G13" s="389">
        <f>G12/'5. Site Cashflow'!$G$21</f>
        <v>4.0617598893162602E-3</v>
      </c>
      <c r="H13" s="389">
        <f>H12/'5. Site Cashflow'!$G$21</f>
        <v>5.4339346732599223E-3</v>
      </c>
      <c r="I13" s="389">
        <f>I12/'5. Site Cashflow'!$G$21</f>
        <v>6.8154262605338821E-3</v>
      </c>
      <c r="J13" s="389">
        <f>J12/'5. Site Cashflow'!$G$21</f>
        <v>8.2063497950817348E-3</v>
      </c>
      <c r="K13" s="389">
        <f>K12/'5. Site Cashflow'!$G$21</f>
        <v>9.6068214397749679E-3</v>
      </c>
      <c r="L13" s="389">
        <f>L12/'5. Site Cashflow'!$G$21</f>
        <v>1.1016958386142934E-2</v>
      </c>
      <c r="M13" s="389">
        <f>M12/'5. Site Cashflow'!$G$21</f>
        <v>1.243687886418886E-2</v>
      </c>
      <c r="N13" s="389">
        <f>N12/'5. Site Cashflow'!$G$21</f>
        <v>1.3866702152292604E-2</v>
      </c>
      <c r="O13" s="389">
        <f>O12/'5. Site Cashflow'!$G$21</f>
        <v>1.530654858720102E-2</v>
      </c>
      <c r="P13" s="389">
        <f>P12/'5. Site Cashflow'!$G$21</f>
        <v>1.6756539574106673E-2</v>
      </c>
      <c r="Q13" s="389">
        <f>Q12/'5. Site Cashflow'!$G$21</f>
        <v>1.8216797596815736E-2</v>
      </c>
      <c r="R13" s="389">
        <f>R12/'5. Site Cashflow'!$G$21</f>
        <v>1.9687446228005848E-2</v>
      </c>
      <c r="S13" s="389">
        <f>S12/'5. Site Cashflow'!$G$21</f>
        <v>2.1168610139574801E-2</v>
      </c>
      <c r="T13" s="389">
        <f>T12/'5. Site Cashflow'!$G$21</f>
        <v>2.2660415113080826E-2</v>
      </c>
      <c r="U13" s="389">
        <f>U12/'5. Site Cashflow'!$G$21</f>
        <v>2.4162988050275332E-2</v>
      </c>
      <c r="V13" s="389">
        <f>V12/'5. Site Cashflow'!$G$21</f>
        <v>2.567645698372896E-2</v>
      </c>
      <c r="W13" s="401">
        <f>W12/'5. Site Cashflow'!$G$21</f>
        <v>2.7200951087551731E-2</v>
      </c>
      <c r="X13" s="401">
        <f>X12/'5. Site Cashflow'!$G$21</f>
        <v>2.8736600688208224E-2</v>
      </c>
      <c r="Y13" s="401">
        <f>Y12/'5. Site Cashflow'!$G$21</f>
        <v>3.0283537275428606E-2</v>
      </c>
      <c r="Z13" s="401">
        <f>Z12/'5. Site Cashflow'!$G$21</f>
        <v>3.1841893513216341E-2</v>
      </c>
      <c r="AA13" s="401">
        <f>AA12/'5. Site Cashflow'!$G$21</f>
        <v>3.3411803250953553E-2</v>
      </c>
      <c r="AB13" s="401">
        <f>AB12/'5. Site Cashflow'!$G$21</f>
        <v>3.4993401534604819E-2</v>
      </c>
      <c r="AC13" s="401">
        <f>AC12/'5. Site Cashflow'!$G$21</f>
        <v>3.5473862090517935E-2</v>
      </c>
    </row>
    <row r="15" spans="1:31" x14ac:dyDescent="0.3">
      <c r="C15" s="392" t="s">
        <v>429</v>
      </c>
      <c r="E15" s="386">
        <f>'5. Site Cashflow'!H72+'Generation Enhancement'!E13</f>
        <v>3.5340905238173743E-2</v>
      </c>
      <c r="F15" s="386">
        <f>'5. Site Cashflow'!I72+'Generation Enhancement'!F13</f>
        <v>3.6788212648562787E-2</v>
      </c>
      <c r="G15" s="386">
        <f>'5. Site Cashflow'!J72+'Generation Enhancement'!G13</f>
        <v>3.8245776646774123E-2</v>
      </c>
      <c r="H15" s="386">
        <f>'5. Site Cashflow'!K72+'Generation Enhancement'!H13</f>
        <v>3.9713720672922712E-2</v>
      </c>
      <c r="I15" s="386">
        <f>'5. Site Cashflow'!L72+'Generation Enhancement'!I13</f>
        <v>4.1192169265466233E-2</v>
      </c>
      <c r="J15" s="386">
        <f>'5. Site Cashflow'!M72+'Generation Enhancement'!J13</f>
        <v>4.2681248071636424E-2</v>
      </c>
      <c r="K15" s="386">
        <f>'5. Site Cashflow'!N72+'Generation Enhancement'!K13</f>
        <v>4.4181083857962801E-2</v>
      </c>
      <c r="L15" s="386">
        <f>'5. Site Cashflow'!O72+'Generation Enhancement'!L13</f>
        <v>4.569180452088964E-2</v>
      </c>
      <c r="M15" s="386">
        <f>'5. Site Cashflow'!P72+'Generation Enhancement'!M13</f>
        <v>4.7213539097486941E-2</v>
      </c>
      <c r="N15" s="386">
        <f>'5. Site Cashflow'!Q72+'Generation Enhancement'!N13</f>
        <v>4.8746417776256407E-2</v>
      </c>
      <c r="O15" s="386">
        <f>'5. Site Cashflow'!R72+'Generation Enhancement'!O13</f>
        <v>5.0290571908033134E-2</v>
      </c>
      <c r="P15" s="386">
        <f>'5. Site Cashflow'!S72+'Generation Enhancement'!P13</f>
        <v>5.1846134016983951E-2</v>
      </c>
      <c r="Q15" s="386">
        <f>'5. Site Cashflow'!T72+'Generation Enhancement'!Q13</f>
        <v>5.3413237811703304E-2</v>
      </c>
      <c r="R15" s="386">
        <f>'5. Site Cashflow'!U72+'Generation Enhancement'!R13</f>
        <v>5.4992018196407526E-2</v>
      </c>
      <c r="S15" s="386">
        <f>'5. Site Cashflow'!V72+'Generation Enhancement'!S13</f>
        <v>5.6582611282228433E-2</v>
      </c>
      <c r="T15" s="386">
        <f>'5. Site Cashflow'!W72+'Generation Enhancement'!T13</f>
        <v>5.8185154398607067E-2</v>
      </c>
      <c r="U15" s="386">
        <f>'5. Site Cashflow'!X72+'Generation Enhancement'!U13</f>
        <v>5.9799786104788533E-2</v>
      </c>
      <c r="V15" s="386">
        <f>'5. Site Cashflow'!Y72+'Generation Enhancement'!V13</f>
        <v>6.1426646201419022E-2</v>
      </c>
      <c r="W15" s="395">
        <f>'5. Site Cashflow'!Z72+'Generation Enhancement'!W13</f>
        <v>6.3065875742245453E-2</v>
      </c>
      <c r="X15" s="395">
        <f>'5. Site Cashflow'!AA72+'Generation Enhancement'!X13</f>
        <v>6.4717617045919329E-2</v>
      </c>
      <c r="Y15" s="395">
        <f>'5. Site Cashflow'!AB72+'Generation Enhancement'!Y13</f>
        <v>6.638201370790521E-2</v>
      </c>
      <c r="Z15" s="395">
        <f>'5. Site Cashflow'!AC72+'Generation Enhancement'!Z13</f>
        <v>6.8059210612494953E-2</v>
      </c>
      <c r="AA15" s="395">
        <f>'5. Site Cashflow'!AD72+'Generation Enhancement'!AA13</f>
        <v>6.9749353944928788E-2</v>
      </c>
      <c r="AB15" s="395">
        <f>'5. Site Cashflow'!AE72+'Generation Enhancement'!AB13</f>
        <v>7.1452591203623933E-2</v>
      </c>
      <c r="AC15" s="395">
        <f>'5. Site Cashflow'!AF72+'Generation Enhancement'!AC13</f>
        <v>3.5473862090517935E-2</v>
      </c>
    </row>
    <row r="17" spans="3:4" x14ac:dyDescent="0.3">
      <c r="C17" s="392" t="s">
        <v>430</v>
      </c>
      <c r="D17" s="386">
        <f>SUM(D15:AB15)/'5. Site Cashflow'!G2</f>
        <v>5.2906570832225837E-2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9" tint="-0.249977111117893"/>
  </sheetPr>
  <dimension ref="B1:D13"/>
  <sheetViews>
    <sheetView workbookViewId="0">
      <selection activeCell="D15" sqref="D15"/>
    </sheetView>
  </sheetViews>
  <sheetFormatPr defaultRowHeight="14.4" x14ac:dyDescent="0.3"/>
  <cols>
    <col min="1" max="1" width="9.5546875" customWidth="1"/>
    <col min="2" max="2" width="29.6640625" bestFit="1" customWidth="1"/>
    <col min="3" max="3" width="11.33203125" style="1" bestFit="1" customWidth="1"/>
    <col min="4" max="4" width="33.88671875" bestFit="1" customWidth="1"/>
    <col min="34" max="34" width="10.33203125" bestFit="1" customWidth="1"/>
  </cols>
  <sheetData>
    <row r="1" spans="2:4" ht="15" thickBot="1" x14ac:dyDescent="0.35"/>
    <row r="2" spans="2:4" ht="15" thickBot="1" x14ac:dyDescent="0.35">
      <c r="B2" s="187" t="s">
        <v>221</v>
      </c>
      <c r="C2" s="188" t="s">
        <v>220</v>
      </c>
      <c r="D2" s="189" t="s">
        <v>219</v>
      </c>
    </row>
    <row r="3" spans="2:4" x14ac:dyDescent="0.3">
      <c r="B3" s="192" t="s">
        <v>38</v>
      </c>
      <c r="C3" s="195" t="str">
        <f>IF('5. Site Cashflow'!G5&lt;0,"NO","YES")</f>
        <v>YES</v>
      </c>
      <c r="D3" s="189" t="s">
        <v>218</v>
      </c>
    </row>
    <row r="4" spans="2:4" x14ac:dyDescent="0.3">
      <c r="B4" s="193"/>
      <c r="C4" s="196"/>
      <c r="D4" s="190"/>
    </row>
    <row r="5" spans="2:4" x14ac:dyDescent="0.3">
      <c r="B5" s="193" t="s">
        <v>37</v>
      </c>
      <c r="C5" s="197">
        <v>50000</v>
      </c>
      <c r="D5" s="190" t="s">
        <v>222</v>
      </c>
    </row>
    <row r="6" spans="2:4" x14ac:dyDescent="0.3">
      <c r="B6" s="193" t="s">
        <v>175</v>
      </c>
      <c r="C6" s="198">
        <f ca="1">'5. Site Cashflow'!G9</f>
        <v>3.5173549413480561E-2</v>
      </c>
      <c r="D6" s="190" t="s">
        <v>223</v>
      </c>
    </row>
    <row r="7" spans="2:4" x14ac:dyDescent="0.3">
      <c r="B7" s="193" t="s">
        <v>217</v>
      </c>
      <c r="C7" s="197">
        <f ca="1">C5*C6</f>
        <v>1758.677470674028</v>
      </c>
      <c r="D7" s="190" t="s">
        <v>224</v>
      </c>
    </row>
    <row r="8" spans="2:4" x14ac:dyDescent="0.3">
      <c r="B8" s="193"/>
      <c r="C8" s="197"/>
      <c r="D8" s="190"/>
    </row>
    <row r="9" spans="2:4" ht="43.2" x14ac:dyDescent="0.3">
      <c r="B9" s="193" t="s">
        <v>226</v>
      </c>
      <c r="C9" s="199">
        <f>'5. Site Cashflow'!G2</f>
        <v>24</v>
      </c>
      <c r="D9" s="190" t="s">
        <v>227</v>
      </c>
    </row>
    <row r="10" spans="2:4" ht="29.4" thickBot="1" x14ac:dyDescent="0.35">
      <c r="B10" s="194" t="s">
        <v>58</v>
      </c>
      <c r="C10" s="200">
        <f ca="1">C5+(C7*C9)</f>
        <v>92208.259296176664</v>
      </c>
      <c r="D10" s="191" t="s">
        <v>225</v>
      </c>
    </row>
    <row r="11" spans="2:4" x14ac:dyDescent="0.3">
      <c r="D11" s="31"/>
    </row>
    <row r="13" spans="2:4" x14ac:dyDescent="0.3">
      <c r="B13" s="9"/>
    </row>
  </sheetData>
  <phoneticPr fontId="5" type="noConversion"/>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687263-80C6-475E-ADDF-B17419B86FD5}">
  <sheetPr codeName="Sheet2">
    <tabColor theme="9" tint="-0.249977111117893"/>
  </sheetPr>
  <dimension ref="B1:D14"/>
  <sheetViews>
    <sheetView workbookViewId="0">
      <selection activeCell="D11" sqref="D11"/>
    </sheetView>
  </sheetViews>
  <sheetFormatPr defaultRowHeight="14.4" x14ac:dyDescent="0.3"/>
  <cols>
    <col min="2" max="2" width="14.44140625" bestFit="1" customWidth="1"/>
    <col min="3" max="3" width="27.6640625" bestFit="1" customWidth="1"/>
  </cols>
  <sheetData>
    <row r="1" spans="2:4" ht="15" thickBot="1" x14ac:dyDescent="0.35"/>
    <row r="2" spans="2:4" ht="15" thickTop="1" x14ac:dyDescent="0.3">
      <c r="B2" s="440" t="s">
        <v>36</v>
      </c>
      <c r="C2" s="298" t="s">
        <v>39</v>
      </c>
      <c r="D2" s="306">
        <v>0.17</v>
      </c>
    </row>
    <row r="3" spans="2:4" x14ac:dyDescent="0.3">
      <c r="B3" s="441"/>
      <c r="C3" s="185" t="s">
        <v>211</v>
      </c>
      <c r="D3" s="307">
        <f>'1. Site details'!D4</f>
        <v>4153</v>
      </c>
    </row>
    <row r="4" spans="2:4" x14ac:dyDescent="0.3">
      <c r="B4" s="441"/>
      <c r="C4" s="185" t="s">
        <v>212</v>
      </c>
      <c r="D4" s="299">
        <f>D3*D2</f>
        <v>706.0100000000001</v>
      </c>
    </row>
    <row r="5" spans="2:4" ht="15" thickBot="1" x14ac:dyDescent="0.35">
      <c r="B5" s="442"/>
      <c r="C5" s="300" t="s">
        <v>35</v>
      </c>
      <c r="D5" s="301">
        <f>D4/12</f>
        <v>58.834166666666675</v>
      </c>
    </row>
    <row r="6" spans="2:4" ht="15.6" thickTop="1" thickBot="1" x14ac:dyDescent="0.35">
      <c r="B6" s="297"/>
      <c r="C6" s="185"/>
      <c r="D6" s="14"/>
    </row>
    <row r="7" spans="2:4" ht="15" thickTop="1" x14ac:dyDescent="0.3">
      <c r="B7" s="440" t="s">
        <v>372</v>
      </c>
      <c r="C7" s="302" t="s">
        <v>369</v>
      </c>
      <c r="D7" s="303">
        <f>'5. Site Cashflow'!H52</f>
        <v>0.4234302260406882</v>
      </c>
    </row>
    <row r="8" spans="2:4" x14ac:dyDescent="0.3">
      <c r="B8" s="441"/>
      <c r="C8" s="304" t="s">
        <v>370</v>
      </c>
      <c r="D8" s="305">
        <f>'5. Site Cashflow'!H50/'1. Site details'!D3/12</f>
        <v>33.922002176084476</v>
      </c>
    </row>
    <row r="9" spans="2:4" ht="15" thickBot="1" x14ac:dyDescent="0.35">
      <c r="B9" s="442"/>
      <c r="C9" s="313" t="s">
        <v>371</v>
      </c>
      <c r="D9" s="314">
        <f>SUM(D8:D8)</f>
        <v>33.922002176084476</v>
      </c>
    </row>
    <row r="10" spans="2:4" ht="15.6" thickTop="1" thickBot="1" x14ac:dyDescent="0.35"/>
    <row r="11" spans="2:4" ht="15" thickTop="1" x14ac:dyDescent="0.3">
      <c r="B11" s="443" t="s">
        <v>373</v>
      </c>
      <c r="C11" s="308" t="s">
        <v>214</v>
      </c>
      <c r="D11" s="309" t="e">
        <f>'5. Site Cashflow'!#REF!/'1. Site details'!D3/12</f>
        <v>#REF!</v>
      </c>
    </row>
    <row r="12" spans="2:4" x14ac:dyDescent="0.3">
      <c r="B12" s="444"/>
      <c r="C12" s="304" t="s">
        <v>215</v>
      </c>
      <c r="D12" s="310" t="e">
        <f>D5-D11</f>
        <v>#REF!</v>
      </c>
    </row>
    <row r="13" spans="2:4" ht="15" thickBot="1" x14ac:dyDescent="0.35">
      <c r="B13" s="445"/>
      <c r="C13" s="311" t="s">
        <v>216</v>
      </c>
      <c r="D13" s="312" t="e">
        <f>D12*12</f>
        <v>#REF!</v>
      </c>
    </row>
    <row r="14" spans="2:4" ht="15" thickTop="1" x14ac:dyDescent="0.3"/>
  </sheetData>
  <mergeCells count="3">
    <mergeCell ref="B2:B5"/>
    <mergeCell ref="B11:B13"/>
    <mergeCell ref="B7:B9"/>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theme="8" tint="0.79998168889431442"/>
  </sheetPr>
  <dimension ref="B1:F200"/>
  <sheetViews>
    <sheetView topLeftCell="A18" workbookViewId="0">
      <selection activeCell="H11" sqref="H11"/>
    </sheetView>
  </sheetViews>
  <sheetFormatPr defaultRowHeight="14.4" x14ac:dyDescent="0.3"/>
  <cols>
    <col min="2" max="2" width="13.5546875" customWidth="1"/>
    <col min="3" max="3" width="11.5546875" bestFit="1" customWidth="1"/>
    <col min="6" max="6" width="14.6640625" customWidth="1"/>
  </cols>
  <sheetData>
    <row r="1" spans="2:6" x14ac:dyDescent="0.3">
      <c r="B1" t="s">
        <v>194</v>
      </c>
      <c r="F1" t="s">
        <v>196</v>
      </c>
    </row>
    <row r="2" spans="2:6" ht="15" customHeight="1" x14ac:dyDescent="0.3">
      <c r="B2" s="446" t="s">
        <v>141</v>
      </c>
      <c r="C2" s="446" t="s">
        <v>193</v>
      </c>
      <c r="F2" s="446" t="s">
        <v>175</v>
      </c>
    </row>
    <row r="3" spans="2:6" x14ac:dyDescent="0.3">
      <c r="B3" s="447"/>
      <c r="C3" s="447"/>
      <c r="F3" s="447"/>
    </row>
    <row r="4" spans="2:6" x14ac:dyDescent="0.3">
      <c r="B4" s="152">
        <v>0</v>
      </c>
      <c r="C4" s="415">
        <f t="shared" ref="C4:C67" si="0">1-B4</f>
        <v>1</v>
      </c>
      <c r="F4" s="156">
        <v>0</v>
      </c>
    </row>
    <row r="5" spans="2:6" x14ac:dyDescent="0.3">
      <c r="B5" s="122">
        <v>0.01</v>
      </c>
      <c r="C5" s="153">
        <f>1-B5</f>
        <v>0.99</v>
      </c>
      <c r="D5" s="78"/>
      <c r="F5" s="157">
        <v>1E-3</v>
      </c>
    </row>
    <row r="6" spans="2:6" x14ac:dyDescent="0.3">
      <c r="B6" s="122">
        <v>0.02</v>
      </c>
      <c r="C6" s="153">
        <f t="shared" si="0"/>
        <v>0.98</v>
      </c>
      <c r="D6" s="78"/>
      <c r="F6" s="157">
        <f>F5+$F$5</f>
        <v>2E-3</v>
      </c>
    </row>
    <row r="7" spans="2:6" x14ac:dyDescent="0.3">
      <c r="B7" s="122">
        <v>0.03</v>
      </c>
      <c r="C7" s="153">
        <f t="shared" si="0"/>
        <v>0.97</v>
      </c>
      <c r="D7" s="78"/>
      <c r="F7" s="157">
        <f t="shared" ref="F7:F54" si="1">F6+$F$5</f>
        <v>3.0000000000000001E-3</v>
      </c>
    </row>
    <row r="8" spans="2:6" x14ac:dyDescent="0.3">
      <c r="B8" s="122">
        <v>0.04</v>
      </c>
      <c r="C8" s="153">
        <f t="shared" si="0"/>
        <v>0.96</v>
      </c>
      <c r="D8" s="78"/>
      <c r="F8" s="157">
        <f t="shared" si="1"/>
        <v>4.0000000000000001E-3</v>
      </c>
    </row>
    <row r="9" spans="2:6" x14ac:dyDescent="0.3">
      <c r="B9" s="122">
        <v>0.05</v>
      </c>
      <c r="C9" s="153">
        <f t="shared" si="0"/>
        <v>0.95</v>
      </c>
      <c r="D9" s="78"/>
      <c r="F9" s="157">
        <f t="shared" si="1"/>
        <v>5.0000000000000001E-3</v>
      </c>
    </row>
    <row r="10" spans="2:6" x14ac:dyDescent="0.3">
      <c r="B10" s="122">
        <v>0.06</v>
      </c>
      <c r="C10" s="153">
        <f t="shared" si="0"/>
        <v>0.94</v>
      </c>
      <c r="D10" s="78"/>
      <c r="F10" s="157">
        <f t="shared" si="1"/>
        <v>6.0000000000000001E-3</v>
      </c>
    </row>
    <row r="11" spans="2:6" x14ac:dyDescent="0.3">
      <c r="B11" s="122">
        <v>7.0000000000000007E-2</v>
      </c>
      <c r="C11" s="153">
        <f t="shared" si="0"/>
        <v>0.92999999999999994</v>
      </c>
      <c r="D11" s="78"/>
      <c r="F11" s="157">
        <f t="shared" si="1"/>
        <v>7.0000000000000001E-3</v>
      </c>
    </row>
    <row r="12" spans="2:6" x14ac:dyDescent="0.3">
      <c r="B12" s="122">
        <v>0.08</v>
      </c>
      <c r="C12" s="153">
        <f t="shared" si="0"/>
        <v>0.92</v>
      </c>
      <c r="D12" s="78"/>
      <c r="F12" s="157">
        <f t="shared" si="1"/>
        <v>8.0000000000000002E-3</v>
      </c>
    </row>
    <row r="13" spans="2:6" x14ac:dyDescent="0.3">
      <c r="B13" s="122">
        <v>0.09</v>
      </c>
      <c r="C13" s="153">
        <f t="shared" si="0"/>
        <v>0.91</v>
      </c>
      <c r="D13" s="78"/>
      <c r="F13" s="157">
        <f t="shared" si="1"/>
        <v>9.0000000000000011E-3</v>
      </c>
    </row>
    <row r="14" spans="2:6" x14ac:dyDescent="0.3">
      <c r="B14" s="122">
        <v>0.1</v>
      </c>
      <c r="C14" s="153">
        <f t="shared" si="0"/>
        <v>0.9</v>
      </c>
      <c r="D14" s="78"/>
      <c r="F14" s="157">
        <f t="shared" si="1"/>
        <v>1.0000000000000002E-2</v>
      </c>
    </row>
    <row r="15" spans="2:6" x14ac:dyDescent="0.3">
      <c r="B15" s="122">
        <v>0.11</v>
      </c>
      <c r="C15" s="153">
        <f t="shared" si="0"/>
        <v>0.89</v>
      </c>
      <c r="F15" s="157">
        <f t="shared" si="1"/>
        <v>1.1000000000000003E-2</v>
      </c>
    </row>
    <row r="16" spans="2:6" x14ac:dyDescent="0.3">
      <c r="B16" s="122">
        <v>0.12</v>
      </c>
      <c r="C16" s="153">
        <f t="shared" si="0"/>
        <v>0.88</v>
      </c>
      <c r="F16" s="157">
        <f t="shared" si="1"/>
        <v>1.2000000000000004E-2</v>
      </c>
    </row>
    <row r="17" spans="2:6" x14ac:dyDescent="0.3">
      <c r="B17" s="122">
        <v>0.13</v>
      </c>
      <c r="C17" s="153">
        <f t="shared" si="0"/>
        <v>0.87</v>
      </c>
      <c r="F17" s="157">
        <f t="shared" si="1"/>
        <v>1.3000000000000005E-2</v>
      </c>
    </row>
    <row r="18" spans="2:6" x14ac:dyDescent="0.3">
      <c r="B18" s="122">
        <v>0.14000000000000001</v>
      </c>
      <c r="C18" s="153">
        <f t="shared" si="0"/>
        <v>0.86</v>
      </c>
      <c r="F18" s="157">
        <f t="shared" si="1"/>
        <v>1.4000000000000005E-2</v>
      </c>
    </row>
    <row r="19" spans="2:6" x14ac:dyDescent="0.3">
      <c r="B19" s="122">
        <v>0.15</v>
      </c>
      <c r="C19" s="153">
        <f t="shared" si="0"/>
        <v>0.85</v>
      </c>
      <c r="F19" s="157">
        <f t="shared" si="1"/>
        <v>1.5000000000000006E-2</v>
      </c>
    </row>
    <row r="20" spans="2:6" x14ac:dyDescent="0.3">
      <c r="B20" s="122">
        <v>0.16</v>
      </c>
      <c r="C20" s="153">
        <f t="shared" si="0"/>
        <v>0.84</v>
      </c>
      <c r="F20" s="157">
        <f t="shared" si="1"/>
        <v>1.6000000000000007E-2</v>
      </c>
    </row>
    <row r="21" spans="2:6" x14ac:dyDescent="0.3">
      <c r="B21" s="122">
        <v>0.17</v>
      </c>
      <c r="C21" s="153">
        <f t="shared" si="0"/>
        <v>0.83</v>
      </c>
      <c r="F21" s="157">
        <f t="shared" si="1"/>
        <v>1.7000000000000008E-2</v>
      </c>
    </row>
    <row r="22" spans="2:6" x14ac:dyDescent="0.3">
      <c r="B22" s="122">
        <v>0.18</v>
      </c>
      <c r="C22" s="153">
        <f t="shared" si="0"/>
        <v>0.82000000000000006</v>
      </c>
      <c r="F22" s="157">
        <f t="shared" si="1"/>
        <v>1.8000000000000009E-2</v>
      </c>
    </row>
    <row r="23" spans="2:6" x14ac:dyDescent="0.3">
      <c r="B23" s="122">
        <v>0.19</v>
      </c>
      <c r="C23" s="153">
        <f t="shared" si="0"/>
        <v>0.81</v>
      </c>
      <c r="F23" s="157">
        <f t="shared" si="1"/>
        <v>1.900000000000001E-2</v>
      </c>
    </row>
    <row r="24" spans="2:6" x14ac:dyDescent="0.3">
      <c r="B24" s="122">
        <v>0.2</v>
      </c>
      <c r="C24" s="153">
        <f t="shared" si="0"/>
        <v>0.8</v>
      </c>
      <c r="F24" s="157">
        <f t="shared" si="1"/>
        <v>2.0000000000000011E-2</v>
      </c>
    </row>
    <row r="25" spans="2:6" x14ac:dyDescent="0.3">
      <c r="B25" s="122">
        <v>0.21</v>
      </c>
      <c r="C25" s="153">
        <f t="shared" si="0"/>
        <v>0.79</v>
      </c>
      <c r="F25" s="157">
        <f t="shared" si="1"/>
        <v>2.1000000000000012E-2</v>
      </c>
    </row>
    <row r="26" spans="2:6" x14ac:dyDescent="0.3">
      <c r="B26" s="122">
        <v>0.22</v>
      </c>
      <c r="C26" s="153">
        <f t="shared" si="0"/>
        <v>0.78</v>
      </c>
      <c r="F26" s="157">
        <f t="shared" si="1"/>
        <v>2.2000000000000013E-2</v>
      </c>
    </row>
    <row r="27" spans="2:6" x14ac:dyDescent="0.3">
      <c r="B27" s="122">
        <v>0.23</v>
      </c>
      <c r="C27" s="153">
        <f t="shared" si="0"/>
        <v>0.77</v>
      </c>
      <c r="F27" s="157">
        <f t="shared" si="1"/>
        <v>2.3000000000000013E-2</v>
      </c>
    </row>
    <row r="28" spans="2:6" x14ac:dyDescent="0.3">
      <c r="B28" s="122">
        <v>0.24</v>
      </c>
      <c r="C28" s="153">
        <f t="shared" si="0"/>
        <v>0.76</v>
      </c>
      <c r="F28" s="157">
        <f t="shared" si="1"/>
        <v>2.4000000000000014E-2</v>
      </c>
    </row>
    <row r="29" spans="2:6" x14ac:dyDescent="0.3">
      <c r="B29" s="122">
        <v>0.25</v>
      </c>
      <c r="C29" s="153">
        <f t="shared" si="0"/>
        <v>0.75</v>
      </c>
      <c r="F29" s="157">
        <f t="shared" si="1"/>
        <v>2.5000000000000015E-2</v>
      </c>
    </row>
    <row r="30" spans="2:6" x14ac:dyDescent="0.3">
      <c r="B30" s="122">
        <v>0.26</v>
      </c>
      <c r="C30" s="153">
        <f t="shared" si="0"/>
        <v>0.74</v>
      </c>
      <c r="F30" s="157">
        <f t="shared" si="1"/>
        <v>2.6000000000000016E-2</v>
      </c>
    </row>
    <row r="31" spans="2:6" x14ac:dyDescent="0.3">
      <c r="B31" s="122">
        <v>0.27</v>
      </c>
      <c r="C31" s="153">
        <f t="shared" si="0"/>
        <v>0.73</v>
      </c>
      <c r="F31" s="157">
        <f t="shared" si="1"/>
        <v>2.7000000000000017E-2</v>
      </c>
    </row>
    <row r="32" spans="2:6" x14ac:dyDescent="0.3">
      <c r="B32" s="122">
        <v>0.28000000000000003</v>
      </c>
      <c r="C32" s="153">
        <f t="shared" si="0"/>
        <v>0.72</v>
      </c>
      <c r="F32" s="157">
        <f t="shared" si="1"/>
        <v>2.8000000000000018E-2</v>
      </c>
    </row>
    <row r="33" spans="2:6" x14ac:dyDescent="0.3">
      <c r="B33" s="122">
        <v>0.28999999999999998</v>
      </c>
      <c r="C33" s="153">
        <f t="shared" si="0"/>
        <v>0.71</v>
      </c>
      <c r="F33" s="157">
        <f t="shared" si="1"/>
        <v>2.9000000000000019E-2</v>
      </c>
    </row>
    <row r="34" spans="2:6" x14ac:dyDescent="0.3">
      <c r="B34" s="122">
        <v>0.3</v>
      </c>
      <c r="C34" s="153">
        <f t="shared" si="0"/>
        <v>0.7</v>
      </c>
      <c r="F34" s="157">
        <f t="shared" si="1"/>
        <v>3.000000000000002E-2</v>
      </c>
    </row>
    <row r="35" spans="2:6" x14ac:dyDescent="0.3">
      <c r="B35" s="122">
        <v>0.31</v>
      </c>
      <c r="C35" s="153">
        <f t="shared" si="0"/>
        <v>0.69</v>
      </c>
      <c r="F35" s="157">
        <f t="shared" si="1"/>
        <v>3.1000000000000021E-2</v>
      </c>
    </row>
    <row r="36" spans="2:6" x14ac:dyDescent="0.3">
      <c r="B36" s="122">
        <v>0.32</v>
      </c>
      <c r="C36" s="153">
        <f t="shared" si="0"/>
        <v>0.67999999999999994</v>
      </c>
      <c r="F36" s="157">
        <f t="shared" si="1"/>
        <v>3.2000000000000021E-2</v>
      </c>
    </row>
    <row r="37" spans="2:6" x14ac:dyDescent="0.3">
      <c r="B37" s="122">
        <v>0.33</v>
      </c>
      <c r="C37" s="153">
        <f t="shared" si="0"/>
        <v>0.66999999999999993</v>
      </c>
      <c r="F37" s="157">
        <f t="shared" si="1"/>
        <v>3.3000000000000022E-2</v>
      </c>
    </row>
    <row r="38" spans="2:6" x14ac:dyDescent="0.3">
      <c r="B38" s="122">
        <v>0.34</v>
      </c>
      <c r="C38" s="153">
        <f t="shared" si="0"/>
        <v>0.65999999999999992</v>
      </c>
      <c r="F38" s="157">
        <f t="shared" si="1"/>
        <v>3.4000000000000023E-2</v>
      </c>
    </row>
    <row r="39" spans="2:6" x14ac:dyDescent="0.3">
      <c r="B39" s="122">
        <v>0.35</v>
      </c>
      <c r="C39" s="153">
        <f t="shared" si="0"/>
        <v>0.65</v>
      </c>
      <c r="F39" s="157">
        <f t="shared" si="1"/>
        <v>3.5000000000000024E-2</v>
      </c>
    </row>
    <row r="40" spans="2:6" x14ac:dyDescent="0.3">
      <c r="B40" s="122">
        <v>0.36</v>
      </c>
      <c r="C40" s="153">
        <f t="shared" si="0"/>
        <v>0.64</v>
      </c>
      <c r="F40" s="157">
        <f t="shared" si="1"/>
        <v>3.6000000000000025E-2</v>
      </c>
    </row>
    <row r="41" spans="2:6" x14ac:dyDescent="0.3">
      <c r="B41" s="122">
        <v>0.37</v>
      </c>
      <c r="C41" s="153">
        <f t="shared" si="0"/>
        <v>0.63</v>
      </c>
      <c r="F41" s="157">
        <f t="shared" si="1"/>
        <v>3.7000000000000026E-2</v>
      </c>
    </row>
    <row r="42" spans="2:6" x14ac:dyDescent="0.3">
      <c r="B42" s="122">
        <v>0.38</v>
      </c>
      <c r="C42" s="153">
        <f t="shared" si="0"/>
        <v>0.62</v>
      </c>
      <c r="F42" s="157">
        <f t="shared" si="1"/>
        <v>3.8000000000000027E-2</v>
      </c>
    </row>
    <row r="43" spans="2:6" x14ac:dyDescent="0.3">
      <c r="B43" s="122">
        <v>0.39</v>
      </c>
      <c r="C43" s="153">
        <f t="shared" si="0"/>
        <v>0.61</v>
      </c>
      <c r="F43" s="157">
        <f t="shared" si="1"/>
        <v>3.9000000000000028E-2</v>
      </c>
    </row>
    <row r="44" spans="2:6" x14ac:dyDescent="0.3">
      <c r="B44" s="122">
        <v>0.4</v>
      </c>
      <c r="C44" s="153">
        <f t="shared" si="0"/>
        <v>0.6</v>
      </c>
      <c r="F44" s="157">
        <f t="shared" si="1"/>
        <v>4.0000000000000029E-2</v>
      </c>
    </row>
    <row r="45" spans="2:6" x14ac:dyDescent="0.3">
      <c r="B45" s="122">
        <v>0.41</v>
      </c>
      <c r="C45" s="153">
        <f t="shared" si="0"/>
        <v>0.59000000000000008</v>
      </c>
      <c r="F45" s="157">
        <f t="shared" si="1"/>
        <v>4.1000000000000029E-2</v>
      </c>
    </row>
    <row r="46" spans="2:6" x14ac:dyDescent="0.3">
      <c r="B46" s="122">
        <v>0.42</v>
      </c>
      <c r="C46" s="153">
        <f t="shared" si="0"/>
        <v>0.58000000000000007</v>
      </c>
      <c r="F46" s="157">
        <f t="shared" si="1"/>
        <v>4.200000000000003E-2</v>
      </c>
    </row>
    <row r="47" spans="2:6" x14ac:dyDescent="0.3">
      <c r="B47" s="122">
        <v>0.43</v>
      </c>
      <c r="C47" s="153">
        <f t="shared" si="0"/>
        <v>0.57000000000000006</v>
      </c>
      <c r="F47" s="157">
        <f t="shared" si="1"/>
        <v>4.3000000000000031E-2</v>
      </c>
    </row>
    <row r="48" spans="2:6" x14ac:dyDescent="0.3">
      <c r="B48" s="122">
        <v>0.44</v>
      </c>
      <c r="C48" s="153">
        <f t="shared" si="0"/>
        <v>0.56000000000000005</v>
      </c>
      <c r="F48" s="157">
        <f t="shared" si="1"/>
        <v>4.4000000000000032E-2</v>
      </c>
    </row>
    <row r="49" spans="2:6" x14ac:dyDescent="0.3">
      <c r="B49" s="122">
        <v>0.45</v>
      </c>
      <c r="C49" s="153">
        <f t="shared" si="0"/>
        <v>0.55000000000000004</v>
      </c>
      <c r="F49" s="157">
        <f t="shared" si="1"/>
        <v>4.5000000000000033E-2</v>
      </c>
    </row>
    <row r="50" spans="2:6" x14ac:dyDescent="0.3">
      <c r="B50" s="122">
        <v>0.46</v>
      </c>
      <c r="C50" s="153">
        <f t="shared" si="0"/>
        <v>0.54</v>
      </c>
      <c r="F50" s="157">
        <f t="shared" si="1"/>
        <v>4.6000000000000034E-2</v>
      </c>
    </row>
    <row r="51" spans="2:6" x14ac:dyDescent="0.3">
      <c r="B51" s="122">
        <v>0.47</v>
      </c>
      <c r="C51" s="153">
        <f t="shared" si="0"/>
        <v>0.53</v>
      </c>
      <c r="F51" s="157">
        <f t="shared" si="1"/>
        <v>4.7000000000000035E-2</v>
      </c>
    </row>
    <row r="52" spans="2:6" x14ac:dyDescent="0.3">
      <c r="B52" s="122">
        <v>0.48</v>
      </c>
      <c r="C52" s="153">
        <f t="shared" si="0"/>
        <v>0.52</v>
      </c>
      <c r="F52" s="157">
        <f t="shared" si="1"/>
        <v>4.8000000000000036E-2</v>
      </c>
    </row>
    <row r="53" spans="2:6" x14ac:dyDescent="0.3">
      <c r="B53" s="122">
        <v>0.49</v>
      </c>
      <c r="C53" s="153">
        <f t="shared" si="0"/>
        <v>0.51</v>
      </c>
      <c r="F53" s="157">
        <f t="shared" si="1"/>
        <v>4.9000000000000037E-2</v>
      </c>
    </row>
    <row r="54" spans="2:6" x14ac:dyDescent="0.3">
      <c r="B54" s="122">
        <v>0.5</v>
      </c>
      <c r="C54" s="153">
        <f t="shared" si="0"/>
        <v>0.5</v>
      </c>
      <c r="F54" s="158">
        <f t="shared" si="1"/>
        <v>5.0000000000000037E-2</v>
      </c>
    </row>
    <row r="55" spans="2:6" x14ac:dyDescent="0.3">
      <c r="B55" s="122">
        <v>0.51</v>
      </c>
      <c r="C55" s="153">
        <f t="shared" si="0"/>
        <v>0.49</v>
      </c>
    </row>
    <row r="56" spans="2:6" x14ac:dyDescent="0.3">
      <c r="B56" s="122">
        <v>0.52</v>
      </c>
      <c r="C56" s="153">
        <f t="shared" si="0"/>
        <v>0.48</v>
      </c>
    </row>
    <row r="57" spans="2:6" x14ac:dyDescent="0.3">
      <c r="B57" s="122">
        <v>0.53</v>
      </c>
      <c r="C57" s="153">
        <f t="shared" si="0"/>
        <v>0.47</v>
      </c>
    </row>
    <row r="58" spans="2:6" x14ac:dyDescent="0.3">
      <c r="B58" s="122">
        <v>0.54</v>
      </c>
      <c r="C58" s="153">
        <f t="shared" si="0"/>
        <v>0.45999999999999996</v>
      </c>
    </row>
    <row r="59" spans="2:6" x14ac:dyDescent="0.3">
      <c r="B59" s="122">
        <v>0.55000000000000004</v>
      </c>
      <c r="C59" s="153">
        <f t="shared" si="0"/>
        <v>0.44999999999999996</v>
      </c>
    </row>
    <row r="60" spans="2:6" x14ac:dyDescent="0.3">
      <c r="B60" s="122">
        <v>0.56000000000000005</v>
      </c>
      <c r="C60" s="153">
        <f t="shared" si="0"/>
        <v>0.43999999999999995</v>
      </c>
    </row>
    <row r="61" spans="2:6" x14ac:dyDescent="0.3">
      <c r="B61" s="122">
        <v>0.56999999999999995</v>
      </c>
      <c r="C61" s="153">
        <f t="shared" si="0"/>
        <v>0.43000000000000005</v>
      </c>
    </row>
    <row r="62" spans="2:6" x14ac:dyDescent="0.3">
      <c r="B62" s="122">
        <v>0.57999999999999996</v>
      </c>
      <c r="C62" s="153">
        <f t="shared" si="0"/>
        <v>0.42000000000000004</v>
      </c>
    </row>
    <row r="63" spans="2:6" x14ac:dyDescent="0.3">
      <c r="B63" s="122">
        <v>0.59</v>
      </c>
      <c r="C63" s="153">
        <f t="shared" si="0"/>
        <v>0.41000000000000003</v>
      </c>
    </row>
    <row r="64" spans="2:6" x14ac:dyDescent="0.3">
      <c r="B64" s="122">
        <v>0.6</v>
      </c>
      <c r="C64" s="153">
        <f t="shared" si="0"/>
        <v>0.4</v>
      </c>
    </row>
    <row r="65" spans="2:3" x14ac:dyDescent="0.3">
      <c r="B65" s="122">
        <v>0.61</v>
      </c>
      <c r="C65" s="153">
        <f t="shared" si="0"/>
        <v>0.39</v>
      </c>
    </row>
    <row r="66" spans="2:3" x14ac:dyDescent="0.3">
      <c r="B66" s="122">
        <v>0.62</v>
      </c>
      <c r="C66" s="153">
        <f t="shared" si="0"/>
        <v>0.38</v>
      </c>
    </row>
    <row r="67" spans="2:3" x14ac:dyDescent="0.3">
      <c r="B67" s="122">
        <v>0.63</v>
      </c>
      <c r="C67" s="153">
        <f t="shared" si="0"/>
        <v>0.37</v>
      </c>
    </row>
    <row r="68" spans="2:3" x14ac:dyDescent="0.3">
      <c r="B68" s="122">
        <v>0.64</v>
      </c>
      <c r="C68" s="153">
        <f t="shared" ref="C68:C104" si="2">1-B68</f>
        <v>0.36</v>
      </c>
    </row>
    <row r="69" spans="2:3" x14ac:dyDescent="0.3">
      <c r="B69" s="122">
        <v>0.65</v>
      </c>
      <c r="C69" s="153">
        <f t="shared" si="2"/>
        <v>0.35</v>
      </c>
    </row>
    <row r="70" spans="2:3" x14ac:dyDescent="0.3">
      <c r="B70" s="122">
        <v>0.66</v>
      </c>
      <c r="C70" s="153">
        <f t="shared" si="2"/>
        <v>0.33999999999999997</v>
      </c>
    </row>
    <row r="71" spans="2:3" x14ac:dyDescent="0.3">
      <c r="B71" s="122">
        <v>0.67</v>
      </c>
      <c r="C71" s="153">
        <f t="shared" si="2"/>
        <v>0.32999999999999996</v>
      </c>
    </row>
    <row r="72" spans="2:3" x14ac:dyDescent="0.3">
      <c r="B72" s="122">
        <v>0.68</v>
      </c>
      <c r="C72" s="153">
        <f t="shared" si="2"/>
        <v>0.31999999999999995</v>
      </c>
    </row>
    <row r="73" spans="2:3" x14ac:dyDescent="0.3">
      <c r="B73" s="122">
        <v>0.69</v>
      </c>
      <c r="C73" s="153">
        <f t="shared" si="2"/>
        <v>0.31000000000000005</v>
      </c>
    </row>
    <row r="74" spans="2:3" x14ac:dyDescent="0.3">
      <c r="B74" s="122">
        <v>0.7</v>
      </c>
      <c r="C74" s="153">
        <f t="shared" si="2"/>
        <v>0.30000000000000004</v>
      </c>
    </row>
    <row r="75" spans="2:3" x14ac:dyDescent="0.3">
      <c r="B75" s="122">
        <v>0.71</v>
      </c>
      <c r="C75" s="153">
        <f t="shared" si="2"/>
        <v>0.29000000000000004</v>
      </c>
    </row>
    <row r="76" spans="2:3" x14ac:dyDescent="0.3">
      <c r="B76" s="122">
        <v>0.72</v>
      </c>
      <c r="C76" s="153">
        <f t="shared" si="2"/>
        <v>0.28000000000000003</v>
      </c>
    </row>
    <row r="77" spans="2:3" x14ac:dyDescent="0.3">
      <c r="B77" s="122">
        <v>0.73</v>
      </c>
      <c r="C77" s="153">
        <f t="shared" si="2"/>
        <v>0.27</v>
      </c>
    </row>
    <row r="78" spans="2:3" x14ac:dyDescent="0.3">
      <c r="B78" s="122">
        <v>0.74</v>
      </c>
      <c r="C78" s="153">
        <f t="shared" si="2"/>
        <v>0.26</v>
      </c>
    </row>
    <row r="79" spans="2:3" x14ac:dyDescent="0.3">
      <c r="B79" s="122">
        <v>0.75</v>
      </c>
      <c r="C79" s="153">
        <f t="shared" si="2"/>
        <v>0.25</v>
      </c>
    </row>
    <row r="80" spans="2:3" x14ac:dyDescent="0.3">
      <c r="B80" s="122">
        <v>0.76</v>
      </c>
      <c r="C80" s="153">
        <f t="shared" si="2"/>
        <v>0.24</v>
      </c>
    </row>
    <row r="81" spans="2:3" x14ac:dyDescent="0.3">
      <c r="B81" s="122">
        <v>0.77</v>
      </c>
      <c r="C81" s="153">
        <f t="shared" si="2"/>
        <v>0.22999999999999998</v>
      </c>
    </row>
    <row r="82" spans="2:3" x14ac:dyDescent="0.3">
      <c r="B82" s="122">
        <v>0.78</v>
      </c>
      <c r="C82" s="153">
        <f t="shared" si="2"/>
        <v>0.21999999999999997</v>
      </c>
    </row>
    <row r="83" spans="2:3" x14ac:dyDescent="0.3">
      <c r="B83" s="122">
        <v>0.79</v>
      </c>
      <c r="C83" s="153">
        <f t="shared" si="2"/>
        <v>0.20999999999999996</v>
      </c>
    </row>
    <row r="84" spans="2:3" x14ac:dyDescent="0.3">
      <c r="B84" s="122">
        <v>0.8</v>
      </c>
      <c r="C84" s="153">
        <f t="shared" si="2"/>
        <v>0.19999999999999996</v>
      </c>
    </row>
    <row r="85" spans="2:3" x14ac:dyDescent="0.3">
      <c r="B85" s="122">
        <v>0.81</v>
      </c>
      <c r="C85" s="153">
        <f t="shared" si="2"/>
        <v>0.18999999999999995</v>
      </c>
    </row>
    <row r="86" spans="2:3" x14ac:dyDescent="0.3">
      <c r="B86" s="122">
        <v>0.82</v>
      </c>
      <c r="C86" s="153">
        <f t="shared" si="2"/>
        <v>0.18000000000000005</v>
      </c>
    </row>
    <row r="87" spans="2:3" x14ac:dyDescent="0.3">
      <c r="B87" s="122">
        <v>0.83</v>
      </c>
      <c r="C87" s="153">
        <f t="shared" si="2"/>
        <v>0.17000000000000004</v>
      </c>
    </row>
    <row r="88" spans="2:3" x14ac:dyDescent="0.3">
      <c r="B88" s="122">
        <v>0.84</v>
      </c>
      <c r="C88" s="153">
        <f t="shared" si="2"/>
        <v>0.16000000000000003</v>
      </c>
    </row>
    <row r="89" spans="2:3" x14ac:dyDescent="0.3">
      <c r="B89" s="122">
        <v>0.85</v>
      </c>
      <c r="C89" s="153">
        <f t="shared" si="2"/>
        <v>0.15000000000000002</v>
      </c>
    </row>
    <row r="90" spans="2:3" x14ac:dyDescent="0.3">
      <c r="B90" s="122">
        <v>0.86</v>
      </c>
      <c r="C90" s="153">
        <f t="shared" si="2"/>
        <v>0.14000000000000001</v>
      </c>
    </row>
    <row r="91" spans="2:3" x14ac:dyDescent="0.3">
      <c r="B91" s="122">
        <v>0.87</v>
      </c>
      <c r="C91" s="153">
        <f t="shared" si="2"/>
        <v>0.13</v>
      </c>
    </row>
    <row r="92" spans="2:3" x14ac:dyDescent="0.3">
      <c r="B92" s="122">
        <v>0.88</v>
      </c>
      <c r="C92" s="153">
        <f t="shared" si="2"/>
        <v>0.12</v>
      </c>
    </row>
    <row r="93" spans="2:3" x14ac:dyDescent="0.3">
      <c r="B93" s="122">
        <v>0.89</v>
      </c>
      <c r="C93" s="153">
        <f t="shared" si="2"/>
        <v>0.10999999999999999</v>
      </c>
    </row>
    <row r="94" spans="2:3" x14ac:dyDescent="0.3">
      <c r="B94" s="122">
        <v>0.9</v>
      </c>
      <c r="C94" s="153">
        <f t="shared" si="2"/>
        <v>9.9999999999999978E-2</v>
      </c>
    </row>
    <row r="95" spans="2:3" x14ac:dyDescent="0.3">
      <c r="B95" s="122">
        <v>0.91</v>
      </c>
      <c r="C95" s="153">
        <f t="shared" si="2"/>
        <v>8.9999999999999969E-2</v>
      </c>
    </row>
    <row r="96" spans="2:3" x14ac:dyDescent="0.3">
      <c r="B96" s="122">
        <v>0.92</v>
      </c>
      <c r="C96" s="153">
        <f t="shared" si="2"/>
        <v>7.999999999999996E-2</v>
      </c>
    </row>
    <row r="97" spans="2:3" x14ac:dyDescent="0.3">
      <c r="B97" s="122">
        <v>0.93</v>
      </c>
      <c r="C97" s="153">
        <f t="shared" si="2"/>
        <v>6.9999999999999951E-2</v>
      </c>
    </row>
    <row r="98" spans="2:3" x14ac:dyDescent="0.3">
      <c r="B98" s="122">
        <v>0.94</v>
      </c>
      <c r="C98" s="153">
        <f t="shared" si="2"/>
        <v>6.0000000000000053E-2</v>
      </c>
    </row>
    <row r="99" spans="2:3" x14ac:dyDescent="0.3">
      <c r="B99" s="122">
        <v>0.95</v>
      </c>
      <c r="C99" s="153">
        <f t="shared" si="2"/>
        <v>5.0000000000000044E-2</v>
      </c>
    </row>
    <row r="100" spans="2:3" x14ac:dyDescent="0.3">
      <c r="B100" s="122">
        <v>0.96</v>
      </c>
      <c r="C100" s="153">
        <f t="shared" si="2"/>
        <v>4.0000000000000036E-2</v>
      </c>
    </row>
    <row r="101" spans="2:3" x14ac:dyDescent="0.3">
      <c r="B101" s="122">
        <v>0.97</v>
      </c>
      <c r="C101" s="153">
        <f t="shared" si="2"/>
        <v>3.0000000000000027E-2</v>
      </c>
    </row>
    <row r="102" spans="2:3" x14ac:dyDescent="0.3">
      <c r="B102" s="122">
        <v>0.98</v>
      </c>
      <c r="C102" s="153">
        <f t="shared" si="2"/>
        <v>2.0000000000000018E-2</v>
      </c>
    </row>
    <row r="103" spans="2:3" x14ac:dyDescent="0.3">
      <c r="B103" s="122">
        <v>0.99</v>
      </c>
      <c r="C103" s="153">
        <f t="shared" si="2"/>
        <v>1.0000000000000009E-2</v>
      </c>
    </row>
    <row r="104" spans="2:3" x14ac:dyDescent="0.3">
      <c r="B104" s="123">
        <v>1</v>
      </c>
      <c r="C104" s="154">
        <f t="shared" si="2"/>
        <v>0</v>
      </c>
    </row>
    <row r="105" spans="2:3" x14ac:dyDescent="0.3">
      <c r="B105" s="414"/>
    </row>
    <row r="106" spans="2:3" x14ac:dyDescent="0.3">
      <c r="B106" s="414"/>
    </row>
    <row r="107" spans="2:3" x14ac:dyDescent="0.3">
      <c r="B107" s="414"/>
    </row>
    <row r="108" spans="2:3" x14ac:dyDescent="0.3">
      <c r="B108" s="414"/>
    </row>
    <row r="109" spans="2:3" x14ac:dyDescent="0.3">
      <c r="B109" s="414"/>
    </row>
    <row r="110" spans="2:3" x14ac:dyDescent="0.3">
      <c r="B110" s="414"/>
    </row>
    <row r="111" spans="2:3" x14ac:dyDescent="0.3">
      <c r="B111" s="414"/>
    </row>
    <row r="112" spans="2:3" x14ac:dyDescent="0.3">
      <c r="B112" s="414"/>
    </row>
    <row r="113" spans="2:2" x14ac:dyDescent="0.3">
      <c r="B113" s="414"/>
    </row>
    <row r="114" spans="2:2" x14ac:dyDescent="0.3">
      <c r="B114" s="414"/>
    </row>
    <row r="115" spans="2:2" x14ac:dyDescent="0.3">
      <c r="B115" s="414"/>
    </row>
    <row r="116" spans="2:2" x14ac:dyDescent="0.3">
      <c r="B116" s="414"/>
    </row>
    <row r="117" spans="2:2" x14ac:dyDescent="0.3">
      <c r="B117" s="414"/>
    </row>
    <row r="118" spans="2:2" x14ac:dyDescent="0.3">
      <c r="B118" s="414"/>
    </row>
    <row r="119" spans="2:2" x14ac:dyDescent="0.3">
      <c r="B119" s="414"/>
    </row>
    <row r="120" spans="2:2" x14ac:dyDescent="0.3">
      <c r="B120" s="414"/>
    </row>
    <row r="121" spans="2:2" x14ac:dyDescent="0.3">
      <c r="B121" s="414"/>
    </row>
    <row r="122" spans="2:2" x14ac:dyDescent="0.3">
      <c r="B122" s="414"/>
    </row>
    <row r="123" spans="2:2" x14ac:dyDescent="0.3">
      <c r="B123" s="414"/>
    </row>
    <row r="124" spans="2:2" x14ac:dyDescent="0.3">
      <c r="B124" s="414"/>
    </row>
    <row r="125" spans="2:2" x14ac:dyDescent="0.3">
      <c r="B125" s="414"/>
    </row>
    <row r="126" spans="2:2" x14ac:dyDescent="0.3">
      <c r="B126" s="414"/>
    </row>
    <row r="127" spans="2:2" x14ac:dyDescent="0.3">
      <c r="B127" s="414"/>
    </row>
    <row r="128" spans="2:2" x14ac:dyDescent="0.3">
      <c r="B128" s="414"/>
    </row>
    <row r="129" spans="2:2" x14ac:dyDescent="0.3">
      <c r="B129" s="414"/>
    </row>
    <row r="130" spans="2:2" x14ac:dyDescent="0.3">
      <c r="B130" s="414"/>
    </row>
    <row r="131" spans="2:2" x14ac:dyDescent="0.3">
      <c r="B131" s="414"/>
    </row>
    <row r="132" spans="2:2" x14ac:dyDescent="0.3">
      <c r="B132" s="414"/>
    </row>
    <row r="133" spans="2:2" x14ac:dyDescent="0.3">
      <c r="B133" s="414"/>
    </row>
    <row r="134" spans="2:2" x14ac:dyDescent="0.3">
      <c r="B134" s="414"/>
    </row>
    <row r="135" spans="2:2" x14ac:dyDescent="0.3">
      <c r="B135" s="414"/>
    </row>
    <row r="136" spans="2:2" x14ac:dyDescent="0.3">
      <c r="B136" s="414"/>
    </row>
    <row r="137" spans="2:2" x14ac:dyDescent="0.3">
      <c r="B137" s="414"/>
    </row>
    <row r="138" spans="2:2" x14ac:dyDescent="0.3">
      <c r="B138" s="414"/>
    </row>
    <row r="139" spans="2:2" x14ac:dyDescent="0.3">
      <c r="B139" s="414"/>
    </row>
    <row r="140" spans="2:2" x14ac:dyDescent="0.3">
      <c r="B140" s="414"/>
    </row>
    <row r="141" spans="2:2" x14ac:dyDescent="0.3">
      <c r="B141" s="414"/>
    </row>
    <row r="142" spans="2:2" x14ac:dyDescent="0.3">
      <c r="B142" s="414"/>
    </row>
    <row r="143" spans="2:2" x14ac:dyDescent="0.3">
      <c r="B143" s="414"/>
    </row>
    <row r="144" spans="2:2" x14ac:dyDescent="0.3">
      <c r="B144" s="414"/>
    </row>
    <row r="145" spans="2:2" x14ac:dyDescent="0.3">
      <c r="B145" s="414"/>
    </row>
    <row r="146" spans="2:2" x14ac:dyDescent="0.3">
      <c r="B146" s="414"/>
    </row>
    <row r="147" spans="2:2" x14ac:dyDescent="0.3">
      <c r="B147" s="414"/>
    </row>
    <row r="148" spans="2:2" x14ac:dyDescent="0.3">
      <c r="B148" s="414"/>
    </row>
    <row r="149" spans="2:2" x14ac:dyDescent="0.3">
      <c r="B149" s="414"/>
    </row>
    <row r="150" spans="2:2" x14ac:dyDescent="0.3">
      <c r="B150" s="414"/>
    </row>
    <row r="151" spans="2:2" x14ac:dyDescent="0.3">
      <c r="B151" s="414"/>
    </row>
    <row r="152" spans="2:2" x14ac:dyDescent="0.3">
      <c r="B152" s="414"/>
    </row>
    <row r="153" spans="2:2" x14ac:dyDescent="0.3">
      <c r="B153" s="414"/>
    </row>
    <row r="154" spans="2:2" x14ac:dyDescent="0.3">
      <c r="B154" s="414"/>
    </row>
    <row r="155" spans="2:2" x14ac:dyDescent="0.3">
      <c r="B155" s="414"/>
    </row>
    <row r="156" spans="2:2" x14ac:dyDescent="0.3">
      <c r="B156" s="414"/>
    </row>
    <row r="157" spans="2:2" x14ac:dyDescent="0.3">
      <c r="B157" s="414"/>
    </row>
    <row r="158" spans="2:2" x14ac:dyDescent="0.3">
      <c r="B158" s="414"/>
    </row>
    <row r="159" spans="2:2" x14ac:dyDescent="0.3">
      <c r="B159" s="414"/>
    </row>
    <row r="160" spans="2:2" x14ac:dyDescent="0.3">
      <c r="B160" s="414"/>
    </row>
    <row r="161" spans="2:2" x14ac:dyDescent="0.3">
      <c r="B161" s="414"/>
    </row>
    <row r="162" spans="2:2" x14ac:dyDescent="0.3">
      <c r="B162" s="414"/>
    </row>
    <row r="163" spans="2:2" x14ac:dyDescent="0.3">
      <c r="B163" s="414"/>
    </row>
    <row r="164" spans="2:2" x14ac:dyDescent="0.3">
      <c r="B164" s="414"/>
    </row>
    <row r="165" spans="2:2" x14ac:dyDescent="0.3">
      <c r="B165" s="414"/>
    </row>
    <row r="166" spans="2:2" x14ac:dyDescent="0.3">
      <c r="B166" s="414"/>
    </row>
    <row r="167" spans="2:2" x14ac:dyDescent="0.3">
      <c r="B167" s="414"/>
    </row>
    <row r="168" spans="2:2" x14ac:dyDescent="0.3">
      <c r="B168" s="414"/>
    </row>
    <row r="169" spans="2:2" x14ac:dyDescent="0.3">
      <c r="B169" s="414"/>
    </row>
    <row r="170" spans="2:2" x14ac:dyDescent="0.3">
      <c r="B170" s="414"/>
    </row>
    <row r="171" spans="2:2" x14ac:dyDescent="0.3">
      <c r="B171" s="414"/>
    </row>
    <row r="172" spans="2:2" x14ac:dyDescent="0.3">
      <c r="B172" s="414"/>
    </row>
    <row r="173" spans="2:2" x14ac:dyDescent="0.3">
      <c r="B173" s="414"/>
    </row>
    <row r="174" spans="2:2" x14ac:dyDescent="0.3">
      <c r="B174" s="414"/>
    </row>
    <row r="175" spans="2:2" x14ac:dyDescent="0.3">
      <c r="B175" s="414"/>
    </row>
    <row r="176" spans="2:2" x14ac:dyDescent="0.3">
      <c r="B176" s="414"/>
    </row>
    <row r="177" spans="2:2" x14ac:dyDescent="0.3">
      <c r="B177" s="414"/>
    </row>
    <row r="178" spans="2:2" x14ac:dyDescent="0.3">
      <c r="B178" s="414"/>
    </row>
    <row r="179" spans="2:2" x14ac:dyDescent="0.3">
      <c r="B179" s="414"/>
    </row>
    <row r="180" spans="2:2" x14ac:dyDescent="0.3">
      <c r="B180" s="414"/>
    </row>
    <row r="181" spans="2:2" x14ac:dyDescent="0.3">
      <c r="B181" s="414"/>
    </row>
    <row r="182" spans="2:2" x14ac:dyDescent="0.3">
      <c r="B182" s="414"/>
    </row>
    <row r="183" spans="2:2" x14ac:dyDescent="0.3">
      <c r="B183" s="414"/>
    </row>
    <row r="184" spans="2:2" x14ac:dyDescent="0.3">
      <c r="B184" s="414"/>
    </row>
    <row r="185" spans="2:2" x14ac:dyDescent="0.3">
      <c r="B185" s="414"/>
    </row>
    <row r="186" spans="2:2" x14ac:dyDescent="0.3">
      <c r="B186" s="414"/>
    </row>
    <row r="187" spans="2:2" x14ac:dyDescent="0.3">
      <c r="B187" s="414"/>
    </row>
    <row r="188" spans="2:2" x14ac:dyDescent="0.3">
      <c r="B188" s="414"/>
    </row>
    <row r="189" spans="2:2" x14ac:dyDescent="0.3">
      <c r="B189" s="414"/>
    </row>
    <row r="190" spans="2:2" x14ac:dyDescent="0.3">
      <c r="B190" s="414"/>
    </row>
    <row r="191" spans="2:2" x14ac:dyDescent="0.3">
      <c r="B191" s="414"/>
    </row>
    <row r="192" spans="2:2" x14ac:dyDescent="0.3">
      <c r="B192" s="414"/>
    </row>
    <row r="193" spans="2:2" x14ac:dyDescent="0.3">
      <c r="B193" s="414"/>
    </row>
    <row r="194" spans="2:2" x14ac:dyDescent="0.3">
      <c r="B194" s="414"/>
    </row>
    <row r="195" spans="2:2" x14ac:dyDescent="0.3">
      <c r="B195" s="414"/>
    </row>
    <row r="196" spans="2:2" x14ac:dyDescent="0.3">
      <c r="B196" s="414"/>
    </row>
    <row r="197" spans="2:2" x14ac:dyDescent="0.3">
      <c r="B197" s="414"/>
    </row>
    <row r="198" spans="2:2" x14ac:dyDescent="0.3">
      <c r="B198" s="414"/>
    </row>
    <row r="199" spans="2:2" x14ac:dyDescent="0.3">
      <c r="B199" s="74"/>
    </row>
    <row r="200" spans="2:2" x14ac:dyDescent="0.3">
      <c r="B200" s="74"/>
    </row>
  </sheetData>
  <mergeCells count="3">
    <mergeCell ref="B2:B3"/>
    <mergeCell ref="C2:C3"/>
    <mergeCell ref="F2:F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7" tint="0.39997558519241921"/>
  </sheetPr>
  <dimension ref="B1:AF53"/>
  <sheetViews>
    <sheetView workbookViewId="0">
      <selection activeCell="E4" sqref="E4"/>
    </sheetView>
  </sheetViews>
  <sheetFormatPr defaultRowHeight="14.4" x14ac:dyDescent="0.3"/>
  <cols>
    <col min="2" max="2" width="18.109375" bestFit="1" customWidth="1"/>
    <col min="3" max="3" width="14.33203125" bestFit="1" customWidth="1"/>
    <col min="4" max="4" width="14.6640625" bestFit="1" customWidth="1"/>
    <col min="5" max="5" width="16.6640625" bestFit="1" customWidth="1"/>
    <col min="6" max="6" width="29.6640625" bestFit="1" customWidth="1"/>
    <col min="7" max="7" width="24" bestFit="1" customWidth="1"/>
    <col min="8" max="9" width="16.33203125" customWidth="1"/>
    <col min="10" max="10" width="18.33203125" customWidth="1"/>
    <col min="11" max="11" width="11.33203125" bestFit="1" customWidth="1"/>
    <col min="12" max="12" width="11.33203125" customWidth="1"/>
    <col min="13" max="13" width="19.44140625" customWidth="1"/>
    <col min="14" max="14" width="14.33203125" customWidth="1"/>
    <col min="17" max="17" width="15.5546875" customWidth="1"/>
    <col min="18" max="18" width="13.6640625" customWidth="1"/>
    <col min="23" max="23" width="18.6640625" customWidth="1"/>
    <col min="28" max="28" width="14.6640625" customWidth="1"/>
    <col min="32" max="32" width="8.6640625" bestFit="1" customWidth="1"/>
  </cols>
  <sheetData>
    <row r="1" spans="2:32" x14ac:dyDescent="0.3">
      <c r="D1" s="34" t="s">
        <v>103</v>
      </c>
      <c r="E1" s="34" t="s">
        <v>104</v>
      </c>
      <c r="F1" s="34" t="s">
        <v>117</v>
      </c>
      <c r="G1" s="34"/>
      <c r="H1" s="34"/>
      <c r="L1" s="74"/>
      <c r="N1" s="74"/>
    </row>
    <row r="2" spans="2:32" ht="43.2" x14ac:dyDescent="0.3">
      <c r="B2" s="282" t="s">
        <v>61</v>
      </c>
      <c r="C2" s="282" t="s">
        <v>63</v>
      </c>
      <c r="D2" s="282" t="s">
        <v>164</v>
      </c>
      <c r="E2" s="419" t="s">
        <v>361</v>
      </c>
      <c r="F2" s="282" t="s">
        <v>118</v>
      </c>
      <c r="G2" s="282" t="s">
        <v>165</v>
      </c>
      <c r="H2" s="282" t="s">
        <v>64</v>
      </c>
      <c r="I2" s="282" t="s">
        <v>65</v>
      </c>
      <c r="J2" s="282" t="s">
        <v>177</v>
      </c>
      <c r="K2" s="219" t="s">
        <v>231</v>
      </c>
      <c r="L2" s="219" t="s">
        <v>230</v>
      </c>
      <c r="M2" s="219" t="s">
        <v>229</v>
      </c>
      <c r="P2" s="450" t="s">
        <v>100</v>
      </c>
      <c r="Q2" s="450"/>
      <c r="R2" s="450"/>
      <c r="S2" s="450"/>
      <c r="T2" s="450"/>
      <c r="U2" s="450"/>
      <c r="V2" s="450"/>
      <c r="W2" s="450"/>
      <c r="X2" s="450"/>
    </row>
    <row r="3" spans="2:32" ht="15.6" x14ac:dyDescent="0.3">
      <c r="B3" s="283" t="s">
        <v>359</v>
      </c>
      <c r="C3" s="283" t="s">
        <v>360</v>
      </c>
      <c r="D3" s="283">
        <v>4</v>
      </c>
      <c r="E3" s="420">
        <f>'4b. Energy Summaries'!F4</f>
        <v>788.25</v>
      </c>
      <c r="F3" s="284">
        <v>0</v>
      </c>
      <c r="G3" s="315">
        <f>AD27</f>
        <v>1138.9441252318732</v>
      </c>
      <c r="H3" s="285">
        <f t="shared" ref="H3:H9" si="0">G3*D3</f>
        <v>4555.7765009274926</v>
      </c>
      <c r="I3" s="286" t="s">
        <v>174</v>
      </c>
      <c r="J3" s="286">
        <v>25</v>
      </c>
      <c r="K3" s="74"/>
      <c r="L3" s="74"/>
      <c r="M3" s="74"/>
      <c r="P3" s="71" t="s">
        <v>106</v>
      </c>
      <c r="Q3" s="106"/>
      <c r="R3" s="106"/>
      <c r="S3" s="106"/>
      <c r="T3" s="106"/>
      <c r="U3" s="106"/>
      <c r="V3" s="106"/>
      <c r="W3" s="106"/>
      <c r="X3" s="106"/>
      <c r="Y3" s="67" t="s">
        <v>99</v>
      </c>
      <c r="Z3" s="69"/>
      <c r="AA3" s="69"/>
      <c r="AB3" s="69"/>
      <c r="AC3" s="69"/>
      <c r="AD3" s="69"/>
      <c r="AE3" s="69"/>
      <c r="AF3" s="69"/>
    </row>
    <row r="4" spans="2:32" ht="28.8" x14ac:dyDescent="0.3">
      <c r="B4" s="283" t="s">
        <v>232</v>
      </c>
      <c r="C4" s="287" t="s">
        <v>233</v>
      </c>
      <c r="D4" s="283">
        <v>4</v>
      </c>
      <c r="E4" s="420">
        <f>'4b. Energy Summaries'!F4</f>
        <v>788.25</v>
      </c>
      <c r="F4" s="284">
        <v>0</v>
      </c>
      <c r="G4" s="315">
        <f>(I14*1000)</f>
        <v>539.99999999999989</v>
      </c>
      <c r="H4" s="285">
        <f t="shared" si="0"/>
        <v>2159.9999999999995</v>
      </c>
      <c r="I4" s="286" t="s">
        <v>174</v>
      </c>
      <c r="J4" s="286">
        <v>25</v>
      </c>
      <c r="K4" s="316">
        <v>0.1958</v>
      </c>
      <c r="L4" s="289" t="s">
        <v>258</v>
      </c>
      <c r="M4" s="219" t="s">
        <v>234</v>
      </c>
      <c r="P4" s="106"/>
      <c r="Q4" s="106"/>
      <c r="R4" s="106"/>
      <c r="S4" s="106"/>
      <c r="T4" s="106"/>
      <c r="U4" s="106"/>
      <c r="V4" s="106"/>
      <c r="W4" s="106"/>
      <c r="X4" s="106"/>
      <c r="Y4" s="69"/>
      <c r="Z4" s="69"/>
      <c r="AA4" s="69"/>
      <c r="AB4" s="69"/>
      <c r="AC4" s="69"/>
      <c r="AD4" s="69"/>
      <c r="AE4" s="69"/>
      <c r="AF4" s="69"/>
    </row>
    <row r="5" spans="2:32" ht="28.8" x14ac:dyDescent="0.3">
      <c r="B5" s="283" t="s">
        <v>232</v>
      </c>
      <c r="C5" s="287" t="s">
        <v>235</v>
      </c>
      <c r="D5" s="283">
        <v>4</v>
      </c>
      <c r="E5" s="420">
        <f>'4b. Energy Summaries'!F4</f>
        <v>788.25</v>
      </c>
      <c r="F5" s="284">
        <v>0</v>
      </c>
      <c r="G5" s="315">
        <f>(I15*1000)</f>
        <v>504</v>
      </c>
      <c r="H5" s="285">
        <f t="shared" si="0"/>
        <v>2016</v>
      </c>
      <c r="I5" s="286" t="s">
        <v>174</v>
      </c>
      <c r="J5" s="286">
        <v>25</v>
      </c>
      <c r="K5" s="316">
        <v>0.17519999999999999</v>
      </c>
      <c r="L5" s="289" t="s">
        <v>259</v>
      </c>
      <c r="M5" s="219" t="s">
        <v>234</v>
      </c>
      <c r="P5" s="106"/>
      <c r="Q5" s="106"/>
      <c r="R5" s="106"/>
      <c r="S5" s="106"/>
      <c r="T5" s="106"/>
      <c r="U5" s="106"/>
      <c r="V5" s="106"/>
      <c r="W5" s="106"/>
      <c r="X5" s="106"/>
      <c r="Y5" s="69"/>
      <c r="Z5" s="69"/>
      <c r="AA5" s="69"/>
      <c r="AB5" s="69"/>
      <c r="AC5" s="69"/>
      <c r="AD5" s="69"/>
      <c r="AE5" s="69"/>
      <c r="AF5" s="69"/>
    </row>
    <row r="6" spans="2:32" ht="28.8" x14ac:dyDescent="0.3">
      <c r="B6" s="287" t="s">
        <v>236</v>
      </c>
      <c r="C6" s="287" t="s">
        <v>237</v>
      </c>
      <c r="D6" s="283">
        <v>4</v>
      </c>
      <c r="E6" s="420">
        <f>'4b. Energy Summaries'!F4</f>
        <v>788.25</v>
      </c>
      <c r="F6" s="284">
        <v>0</v>
      </c>
      <c r="G6" s="315">
        <f>(I16*1000)</f>
        <v>468</v>
      </c>
      <c r="H6" s="285">
        <f t="shared" si="0"/>
        <v>1872</v>
      </c>
      <c r="I6" s="286" t="s">
        <v>174</v>
      </c>
      <c r="J6" s="286">
        <v>25</v>
      </c>
      <c r="K6" s="316">
        <v>0.19839999999999999</v>
      </c>
      <c r="L6" s="289" t="s">
        <v>238</v>
      </c>
      <c r="M6" s="219" t="s">
        <v>234</v>
      </c>
      <c r="P6" s="106"/>
      <c r="Q6" s="106"/>
      <c r="R6" s="106"/>
      <c r="S6" s="106"/>
      <c r="T6" s="106"/>
      <c r="U6" s="106"/>
      <c r="V6" s="106"/>
      <c r="W6" s="106"/>
      <c r="X6" s="106"/>
      <c r="Y6" s="69"/>
      <c r="Z6" s="69"/>
      <c r="AA6" s="69"/>
      <c r="AB6" s="69"/>
      <c r="AC6" s="69"/>
      <c r="AD6" s="69"/>
      <c r="AE6" s="69"/>
      <c r="AF6" s="69"/>
    </row>
    <row r="7" spans="2:32" ht="28.8" x14ac:dyDescent="0.3">
      <c r="B7" s="287" t="s">
        <v>236</v>
      </c>
      <c r="C7" s="287" t="s">
        <v>239</v>
      </c>
      <c r="D7" s="283">
        <v>4</v>
      </c>
      <c r="E7" s="420">
        <f>'4b. Energy Summaries'!F4</f>
        <v>788.25</v>
      </c>
      <c r="F7" s="284">
        <v>0</v>
      </c>
      <c r="G7" s="315">
        <f>(I17*1000)</f>
        <v>431.99999999999994</v>
      </c>
      <c r="H7" s="285">
        <f t="shared" si="0"/>
        <v>1727.9999999999998</v>
      </c>
      <c r="I7" s="286" t="s">
        <v>174</v>
      </c>
      <c r="J7" s="286">
        <v>25</v>
      </c>
      <c r="K7" s="316">
        <v>0.183</v>
      </c>
      <c r="L7" s="289" t="s">
        <v>240</v>
      </c>
      <c r="M7" s="219" t="s">
        <v>234</v>
      </c>
      <c r="P7" s="106"/>
      <c r="Q7" s="106"/>
      <c r="R7" s="106"/>
      <c r="S7" s="106"/>
      <c r="T7" s="106"/>
      <c r="U7" s="106"/>
      <c r="V7" s="106"/>
      <c r="W7" s="106"/>
      <c r="X7" s="106"/>
      <c r="Y7" s="69"/>
      <c r="Z7" s="69"/>
      <c r="AA7" s="69"/>
      <c r="AB7" s="69"/>
      <c r="AC7" s="69"/>
      <c r="AD7" s="69"/>
      <c r="AE7" s="69"/>
      <c r="AF7" s="69"/>
    </row>
    <row r="8" spans="2:32" ht="28.8" x14ac:dyDescent="0.3">
      <c r="B8" s="317" t="s">
        <v>375</v>
      </c>
      <c r="C8" s="318" t="s">
        <v>376</v>
      </c>
      <c r="D8" s="319">
        <v>4</v>
      </c>
      <c r="E8" s="421">
        <f>'4b. Energy Summaries'!F4</f>
        <v>788.25</v>
      </c>
      <c r="F8" s="319"/>
      <c r="G8" s="320">
        <v>320</v>
      </c>
      <c r="H8" s="321">
        <f t="shared" si="0"/>
        <v>1280</v>
      </c>
      <c r="I8" s="319"/>
      <c r="J8" s="322">
        <v>25</v>
      </c>
      <c r="K8" s="323">
        <v>0.20599999999999999</v>
      </c>
      <c r="L8" s="319">
        <v>375</v>
      </c>
      <c r="M8" s="318" t="s">
        <v>378</v>
      </c>
      <c r="N8" s="74"/>
      <c r="O8" s="74"/>
      <c r="P8" s="106"/>
      <c r="Q8" s="106"/>
      <c r="R8" s="106"/>
      <c r="S8" s="106"/>
      <c r="T8" s="106"/>
      <c r="U8" s="106"/>
      <c r="V8" s="106"/>
      <c r="W8" s="106"/>
      <c r="X8" s="106"/>
      <c r="Y8" s="69"/>
      <c r="Z8" s="69"/>
      <c r="AA8" s="69"/>
      <c r="AB8" s="69"/>
      <c r="AC8" s="69"/>
      <c r="AD8" s="69"/>
      <c r="AE8" s="69"/>
      <c r="AF8" s="69"/>
    </row>
    <row r="9" spans="2:32" ht="28.8" x14ac:dyDescent="0.3">
      <c r="B9" s="317" t="s">
        <v>375</v>
      </c>
      <c r="C9" s="318" t="s">
        <v>377</v>
      </c>
      <c r="D9" s="319">
        <v>4</v>
      </c>
      <c r="E9" s="421">
        <f>'4b. Energy Summaries'!F4</f>
        <v>788.25</v>
      </c>
      <c r="F9" s="317"/>
      <c r="G9" s="324">
        <v>420</v>
      </c>
      <c r="H9" s="321">
        <f t="shared" si="0"/>
        <v>1680</v>
      </c>
      <c r="I9" s="317"/>
      <c r="J9" s="322">
        <v>25</v>
      </c>
      <c r="K9" s="325">
        <v>0.21199999999999999</v>
      </c>
      <c r="L9" s="317">
        <v>455</v>
      </c>
      <c r="M9" s="318" t="s">
        <v>379</v>
      </c>
      <c r="N9" s="74"/>
      <c r="O9" s="74"/>
      <c r="P9" s="106"/>
      <c r="Q9" s="106"/>
      <c r="R9" s="106"/>
      <c r="S9" s="106"/>
      <c r="T9" s="106"/>
      <c r="U9" s="106"/>
      <c r="V9" s="106"/>
      <c r="W9" s="106"/>
      <c r="X9" s="106"/>
      <c r="Y9" s="69"/>
      <c r="Z9" s="69"/>
      <c r="AA9" s="69"/>
      <c r="AB9" s="69"/>
      <c r="AC9" s="69"/>
      <c r="AD9" s="69"/>
      <c r="AE9" s="69"/>
      <c r="AF9" s="69"/>
    </row>
    <row r="10" spans="2:32" ht="15.6" x14ac:dyDescent="0.3">
      <c r="N10" s="74"/>
      <c r="P10" s="106"/>
      <c r="Q10" s="106"/>
      <c r="R10" s="106"/>
      <c r="S10" s="106"/>
      <c r="T10" s="106"/>
      <c r="U10" s="106"/>
      <c r="V10" s="106"/>
      <c r="W10" s="106"/>
      <c r="X10" s="106"/>
      <c r="Y10" s="69"/>
      <c r="Z10" s="69"/>
      <c r="AA10" s="69"/>
      <c r="AB10" s="69"/>
      <c r="AC10" s="69"/>
      <c r="AD10" s="69"/>
      <c r="AE10" s="69"/>
      <c r="AF10" s="69"/>
    </row>
    <row r="11" spans="2:32" x14ac:dyDescent="0.3">
      <c r="B11" s="74"/>
      <c r="C11" s="207"/>
      <c r="D11" s="207"/>
      <c r="E11" s="207"/>
      <c r="F11" s="207"/>
      <c r="G11" s="207"/>
      <c r="H11" s="207"/>
      <c r="I11" s="74"/>
      <c r="P11" s="35" t="s">
        <v>66</v>
      </c>
      <c r="Q11" s="35"/>
      <c r="R11" s="35"/>
      <c r="S11" s="35"/>
      <c r="T11" s="36"/>
      <c r="U11" s="36"/>
      <c r="V11" s="36"/>
      <c r="W11" s="36"/>
      <c r="X11" s="36"/>
      <c r="Y11" s="36"/>
      <c r="Z11" s="36"/>
      <c r="AA11" s="36"/>
      <c r="AB11" s="36"/>
      <c r="AC11" s="36"/>
      <c r="AD11" s="36"/>
      <c r="AE11" s="36"/>
      <c r="AF11" s="36"/>
    </row>
    <row r="12" spans="2:32" x14ac:dyDescent="0.3">
      <c r="B12" s="74"/>
      <c r="C12" s="207"/>
      <c r="D12" s="208"/>
      <c r="E12" s="208"/>
      <c r="F12" s="208"/>
      <c r="G12" s="208"/>
      <c r="H12" s="209"/>
      <c r="I12" s="74"/>
      <c r="P12" s="458" t="s">
        <v>0</v>
      </c>
      <c r="Q12" s="458" t="s">
        <v>67</v>
      </c>
      <c r="R12" s="461" t="s">
        <v>68</v>
      </c>
      <c r="S12" s="462"/>
      <c r="T12" s="462"/>
      <c r="U12" s="462"/>
      <c r="V12" s="463"/>
      <c r="W12" s="461" t="s">
        <v>69</v>
      </c>
      <c r="X12" s="462"/>
      <c r="Y12" s="462"/>
      <c r="Z12" s="462"/>
      <c r="AA12" s="463"/>
      <c r="AB12" s="461" t="s">
        <v>70</v>
      </c>
      <c r="AC12" s="462"/>
      <c r="AD12" s="462"/>
      <c r="AE12" s="462"/>
      <c r="AF12" s="463"/>
    </row>
    <row r="13" spans="2:32" x14ac:dyDescent="0.3">
      <c r="B13" s="74"/>
      <c r="C13" s="210"/>
      <c r="D13" s="210"/>
      <c r="E13" s="74"/>
      <c r="F13" s="210"/>
      <c r="G13" s="74"/>
      <c r="H13" s="210" t="s">
        <v>261</v>
      </c>
      <c r="I13" s="210" t="s">
        <v>264</v>
      </c>
      <c r="J13" s="74"/>
      <c r="P13" s="459"/>
      <c r="Q13" s="459"/>
      <c r="R13" s="37"/>
      <c r="S13" s="464" t="s">
        <v>71</v>
      </c>
      <c r="T13" s="465"/>
      <c r="U13" s="465"/>
      <c r="V13" s="466"/>
      <c r="W13" s="37"/>
      <c r="X13" s="464" t="s">
        <v>71</v>
      </c>
      <c r="Y13" s="465"/>
      <c r="Z13" s="465"/>
      <c r="AA13" s="466"/>
      <c r="AB13" s="37"/>
      <c r="AC13" s="464" t="s">
        <v>71</v>
      </c>
      <c r="AD13" s="465"/>
      <c r="AE13" s="465"/>
      <c r="AF13" s="466"/>
    </row>
    <row r="14" spans="2:32" ht="28.8" x14ac:dyDescent="0.3">
      <c r="B14" s="74"/>
      <c r="C14" s="210"/>
      <c r="D14" s="219"/>
      <c r="E14" s="74"/>
      <c r="F14" s="74"/>
      <c r="G14" s="74"/>
      <c r="H14" s="219">
        <v>0.3</v>
      </c>
      <c r="I14" s="219">
        <f>((H14*I$21)/I$22)</f>
        <v>0.53999999999999992</v>
      </c>
      <c r="J14" s="74"/>
      <c r="P14" s="460"/>
      <c r="Q14" s="460"/>
      <c r="R14" s="38" t="s">
        <v>72</v>
      </c>
      <c r="S14" s="37" t="s">
        <v>73</v>
      </c>
      <c r="T14" s="39" t="s">
        <v>74</v>
      </c>
      <c r="U14" s="39" t="s">
        <v>75</v>
      </c>
      <c r="V14" s="40" t="s">
        <v>76</v>
      </c>
      <c r="W14" s="38" t="s">
        <v>72</v>
      </c>
      <c r="X14" s="37" t="s">
        <v>73</v>
      </c>
      <c r="Y14" s="39" t="s">
        <v>74</v>
      </c>
      <c r="Z14" s="39" t="s">
        <v>75</v>
      </c>
      <c r="AA14" s="40" t="s">
        <v>76</v>
      </c>
      <c r="AB14" s="38" t="s">
        <v>72</v>
      </c>
      <c r="AC14" s="37" t="s">
        <v>73</v>
      </c>
      <c r="AD14" s="39" t="s">
        <v>74</v>
      </c>
      <c r="AE14" s="39" t="s">
        <v>75</v>
      </c>
      <c r="AF14" s="40" t="s">
        <v>76</v>
      </c>
    </row>
    <row r="15" spans="2:32" x14ac:dyDescent="0.3">
      <c r="B15" s="74"/>
      <c r="C15" s="219"/>
      <c r="D15" s="219"/>
      <c r="E15" s="74"/>
      <c r="F15" s="74"/>
      <c r="G15" s="74"/>
      <c r="H15" s="219">
        <v>0.28000000000000003</v>
      </c>
      <c r="I15" s="219">
        <f>((H15*I$21)/I$22)</f>
        <v>0.504</v>
      </c>
      <c r="J15" s="74"/>
      <c r="P15" s="454">
        <v>2018</v>
      </c>
      <c r="Q15" s="41" t="s">
        <v>77</v>
      </c>
      <c r="R15" s="42">
        <v>1465</v>
      </c>
      <c r="S15" s="43">
        <v>1754.3859649122808</v>
      </c>
      <c r="T15" s="42">
        <v>1868.9165627692187</v>
      </c>
      <c r="U15" s="42">
        <v>1832.7656715617616</v>
      </c>
      <c r="V15" s="44">
        <v>1905.0674539766758</v>
      </c>
      <c r="W15" s="45">
        <v>168</v>
      </c>
      <c r="X15" s="45">
        <v>1474.9994999999999</v>
      </c>
      <c r="Y15" s="46">
        <v>1597.0282927048352</v>
      </c>
      <c r="Z15" s="46">
        <v>1501.5106407327169</v>
      </c>
      <c r="AA15" s="47">
        <v>1692.5459446769535</v>
      </c>
      <c r="AB15" s="42">
        <v>68</v>
      </c>
      <c r="AC15" s="43">
        <v>1112.4416666666666</v>
      </c>
      <c r="AD15" s="42">
        <v>1193.7500619204602</v>
      </c>
      <c r="AE15" s="42">
        <v>1104.0136086478071</v>
      </c>
      <c r="AF15" s="47">
        <v>1283.4865151931133</v>
      </c>
    </row>
    <row r="16" spans="2:32" x14ac:dyDescent="0.3">
      <c r="B16" s="74"/>
      <c r="C16" s="210"/>
      <c r="D16" s="219"/>
      <c r="E16" s="74"/>
      <c r="F16" s="74"/>
      <c r="G16" s="74"/>
      <c r="H16" s="219">
        <v>0.26</v>
      </c>
      <c r="I16" s="219">
        <f>((H16*I$21)/I$22)</f>
        <v>0.46799999999999997</v>
      </c>
      <c r="J16" s="74"/>
      <c r="P16" s="448"/>
      <c r="Q16" s="48" t="s">
        <v>78</v>
      </c>
      <c r="R16" s="42">
        <v>1747</v>
      </c>
      <c r="S16" s="43">
        <v>1675.3926701570681</v>
      </c>
      <c r="T16" s="42">
        <v>1797.7061499179272</v>
      </c>
      <c r="U16" s="42">
        <v>1767.0016467205305</v>
      </c>
      <c r="V16" s="44">
        <v>1828.4106531153238</v>
      </c>
      <c r="W16" s="43">
        <v>172</v>
      </c>
      <c r="X16" s="43">
        <v>1398.6285618279571</v>
      </c>
      <c r="Y16" s="42">
        <v>1550.1681215407932</v>
      </c>
      <c r="Z16" s="42">
        <v>1456.851906135224</v>
      </c>
      <c r="AA16" s="44">
        <v>1643.4843369463624</v>
      </c>
      <c r="AB16" s="42">
        <v>78</v>
      </c>
      <c r="AC16" s="43">
        <v>1087.0905071347224</v>
      </c>
      <c r="AD16" s="42">
        <v>1143.2073561850009</v>
      </c>
      <c r="AE16" s="42">
        <v>1050.8913264195317</v>
      </c>
      <c r="AF16" s="44">
        <v>1235.5233859504701</v>
      </c>
    </row>
    <row r="17" spans="2:32" x14ac:dyDescent="0.3">
      <c r="B17" s="74"/>
      <c r="C17" s="219"/>
      <c r="D17" s="219"/>
      <c r="E17" s="74"/>
      <c r="F17" s="74"/>
      <c r="G17" s="74"/>
      <c r="H17" s="219">
        <v>0.24</v>
      </c>
      <c r="I17" s="219">
        <f>((H17*I$21)/I$22)</f>
        <v>0.43199999999999994</v>
      </c>
      <c r="J17" s="74"/>
      <c r="P17" s="448"/>
      <c r="Q17" s="48" t="s">
        <v>79</v>
      </c>
      <c r="R17" s="42">
        <v>1308</v>
      </c>
      <c r="S17" s="43">
        <v>1695.6057752667921</v>
      </c>
      <c r="T17" s="42">
        <v>1938.6159396142552</v>
      </c>
      <c r="U17" s="42">
        <v>1881.2957038119116</v>
      </c>
      <c r="V17" s="44">
        <v>1995.9361754165989</v>
      </c>
      <c r="W17" s="43">
        <v>121</v>
      </c>
      <c r="X17" s="43">
        <v>1309.5238095238094</v>
      </c>
      <c r="Y17" s="42">
        <v>1399.8094852789375</v>
      </c>
      <c r="Z17" s="42">
        <v>1270.2112828864847</v>
      </c>
      <c r="AA17" s="44">
        <v>1529.4076876713902</v>
      </c>
      <c r="AB17" s="42">
        <v>26</v>
      </c>
      <c r="AC17" s="43">
        <v>1041.5392963625522</v>
      </c>
      <c r="AD17" s="42">
        <v>1026.4484685009618</v>
      </c>
      <c r="AE17" s="42">
        <v>872.92656010713563</v>
      </c>
      <c r="AF17" s="44">
        <v>1179.9703768947879</v>
      </c>
    </row>
    <row r="18" spans="2:32" x14ac:dyDescent="0.3">
      <c r="B18" s="74"/>
      <c r="C18" s="217"/>
      <c r="D18" s="217"/>
      <c r="E18" s="217"/>
      <c r="F18" s="217"/>
      <c r="G18" s="217"/>
      <c r="H18" s="217"/>
      <c r="I18" s="217"/>
      <c r="J18" s="74"/>
      <c r="P18" s="448"/>
      <c r="Q18" s="48" t="s">
        <v>80</v>
      </c>
      <c r="R18" s="42">
        <v>1656</v>
      </c>
      <c r="S18" s="43">
        <v>1650.6858974358975</v>
      </c>
      <c r="T18" s="42">
        <v>1748.0845741561618</v>
      </c>
      <c r="U18" s="42">
        <v>1713.1203203108141</v>
      </c>
      <c r="V18" s="44">
        <v>1783.0488280015095</v>
      </c>
      <c r="W18" s="43">
        <v>204</v>
      </c>
      <c r="X18" s="43">
        <v>1364.2101959229524</v>
      </c>
      <c r="Y18" s="42">
        <v>1476.6746090929496</v>
      </c>
      <c r="Z18" s="42">
        <v>1407.0776831321493</v>
      </c>
      <c r="AA18" s="44">
        <v>1546.2715350537499</v>
      </c>
      <c r="AB18" s="42">
        <v>84</v>
      </c>
      <c r="AC18" s="43">
        <v>1105.5555555555557</v>
      </c>
      <c r="AD18" s="42">
        <v>1174.6405766346973</v>
      </c>
      <c r="AE18" s="42">
        <v>1090.6709692331626</v>
      </c>
      <c r="AF18" s="44">
        <v>1258.6101840362319</v>
      </c>
    </row>
    <row r="19" spans="2:32" x14ac:dyDescent="0.3">
      <c r="C19" s="217"/>
      <c r="D19" s="217"/>
      <c r="E19" s="217"/>
      <c r="F19" s="217"/>
      <c r="G19" s="217"/>
      <c r="H19" s="217"/>
      <c r="I19" s="217"/>
      <c r="J19" s="74"/>
      <c r="P19" s="448"/>
      <c r="Q19" s="48" t="s">
        <v>81</v>
      </c>
      <c r="R19" s="42">
        <v>1949</v>
      </c>
      <c r="S19" s="43">
        <v>1674.3243243243242</v>
      </c>
      <c r="T19" s="42">
        <v>1776.4909597980275</v>
      </c>
      <c r="U19" s="42">
        <v>1745.3837173985517</v>
      </c>
      <c r="V19" s="44">
        <v>1807.5982021975033</v>
      </c>
      <c r="W19" s="43">
        <v>203</v>
      </c>
      <c r="X19" s="43">
        <v>1312.7272727272725</v>
      </c>
      <c r="Y19" s="42">
        <v>1472.248679174078</v>
      </c>
      <c r="Z19" s="42">
        <v>1397.9027597153818</v>
      </c>
      <c r="AA19" s="44">
        <v>1546.5945986327743</v>
      </c>
      <c r="AB19" s="42">
        <v>107</v>
      </c>
      <c r="AC19" s="43">
        <v>1083.6697247706422</v>
      </c>
      <c r="AD19" s="42">
        <v>1157.6820467566656</v>
      </c>
      <c r="AE19" s="42">
        <v>1088.7226600205586</v>
      </c>
      <c r="AF19" s="44">
        <v>1226.6414334927726</v>
      </c>
    </row>
    <row r="20" spans="2:32" x14ac:dyDescent="0.3">
      <c r="C20" s="217"/>
      <c r="D20" s="217"/>
      <c r="E20" s="217"/>
      <c r="F20" s="217"/>
      <c r="G20" s="217"/>
      <c r="H20" s="217"/>
      <c r="I20" s="217"/>
      <c r="J20" s="74"/>
      <c r="P20" s="448"/>
      <c r="Q20" s="48" t="s">
        <v>82</v>
      </c>
      <c r="R20" s="42">
        <v>2096</v>
      </c>
      <c r="S20" s="43">
        <v>1692.3076923076922</v>
      </c>
      <c r="T20" s="42">
        <v>1825.6508625177705</v>
      </c>
      <c r="U20" s="42">
        <v>1796.2357984267676</v>
      </c>
      <c r="V20" s="44">
        <v>1855.0659266087735</v>
      </c>
      <c r="W20" s="43">
        <v>279</v>
      </c>
      <c r="X20" s="43">
        <v>1339.2857142857142</v>
      </c>
      <c r="Y20" s="42">
        <v>1478.2198228863247</v>
      </c>
      <c r="Z20" s="42">
        <v>1420.631427290657</v>
      </c>
      <c r="AA20" s="44">
        <v>1535.8082184819923</v>
      </c>
      <c r="AB20" s="42">
        <v>103</v>
      </c>
      <c r="AC20" s="43">
        <v>1051</v>
      </c>
      <c r="AD20" s="42">
        <v>1114.1015428440799</v>
      </c>
      <c r="AE20" s="42">
        <v>1053.4844004883957</v>
      </c>
      <c r="AF20" s="44">
        <v>1174.718685199764</v>
      </c>
    </row>
    <row r="21" spans="2:32" x14ac:dyDescent="0.3">
      <c r="C21" s="217"/>
      <c r="D21" s="217"/>
      <c r="E21" s="217"/>
      <c r="F21" s="217"/>
      <c r="H21" s="288" t="s">
        <v>262</v>
      </c>
      <c r="I21" s="217">
        <v>0.72</v>
      </c>
      <c r="J21" s="74"/>
      <c r="P21" s="448"/>
      <c r="Q21" s="48" t="s">
        <v>83</v>
      </c>
      <c r="R21" s="42">
        <v>2250</v>
      </c>
      <c r="S21" s="43">
        <v>1647.4358974358975</v>
      </c>
      <c r="T21" s="42">
        <v>1773.0461022114637</v>
      </c>
      <c r="U21" s="42">
        <v>1744.6078031974118</v>
      </c>
      <c r="V21" s="44">
        <v>1801.4844012255155</v>
      </c>
      <c r="W21" s="43">
        <v>237</v>
      </c>
      <c r="X21" s="43">
        <v>1383.9285714285713</v>
      </c>
      <c r="Y21" s="42">
        <v>1533.3016923199375</v>
      </c>
      <c r="Z21" s="42">
        <v>1462.2811000858096</v>
      </c>
      <c r="AA21" s="44">
        <v>1604.3222845540654</v>
      </c>
      <c r="AB21" s="42">
        <v>114</v>
      </c>
      <c r="AC21" s="43">
        <v>1085.7822531735576</v>
      </c>
      <c r="AD21" s="42">
        <v>1108.579476018605</v>
      </c>
      <c r="AE21" s="42">
        <v>1051.5582221264326</v>
      </c>
      <c r="AF21" s="44">
        <v>1165.6007299107773</v>
      </c>
    </row>
    <row r="22" spans="2:32" x14ac:dyDescent="0.3">
      <c r="C22" s="216"/>
      <c r="D22" s="216"/>
      <c r="E22" s="216"/>
      <c r="F22" s="216"/>
      <c r="H22" s="288" t="s">
        <v>263</v>
      </c>
      <c r="I22" s="217">
        <v>0.4</v>
      </c>
      <c r="J22" s="74"/>
      <c r="P22" s="448"/>
      <c r="Q22" s="48" t="s">
        <v>84</v>
      </c>
      <c r="R22" s="42">
        <v>2973</v>
      </c>
      <c r="S22" s="43">
        <v>1608</v>
      </c>
      <c r="T22" s="42">
        <v>1725.9362051548096</v>
      </c>
      <c r="U22" s="42">
        <v>1702.6953392612006</v>
      </c>
      <c r="V22" s="44">
        <v>1749.1770710484186</v>
      </c>
      <c r="W22" s="43">
        <v>379</v>
      </c>
      <c r="X22" s="43">
        <v>1394.8717948717949</v>
      </c>
      <c r="Y22" s="42">
        <v>1512.036445742589</v>
      </c>
      <c r="Z22" s="42">
        <v>1458.0821632049101</v>
      </c>
      <c r="AA22" s="44">
        <v>1565.9907282802678</v>
      </c>
      <c r="AB22" s="42">
        <v>124</v>
      </c>
      <c r="AC22" s="43">
        <v>1153.5126715092815</v>
      </c>
      <c r="AD22" s="42">
        <v>1192.2317185983063</v>
      </c>
      <c r="AE22" s="42">
        <v>1128.8917756055064</v>
      </c>
      <c r="AF22" s="44">
        <v>1255.5716615911062</v>
      </c>
    </row>
    <row r="23" spans="2:32" x14ac:dyDescent="0.3">
      <c r="G23" s="74"/>
      <c r="H23" s="74"/>
      <c r="I23" s="74"/>
      <c r="J23" s="74"/>
      <c r="P23" s="449"/>
      <c r="Q23" s="49" t="s">
        <v>85</v>
      </c>
      <c r="R23" s="50">
        <v>2250</v>
      </c>
      <c r="S23" s="50">
        <v>1607.1583850931677</v>
      </c>
      <c r="T23" s="51">
        <v>1774.0310955596008</v>
      </c>
      <c r="U23" s="51">
        <v>1744.8370621523136</v>
      </c>
      <c r="V23" s="52">
        <v>1803.225128966888</v>
      </c>
      <c r="W23" s="50">
        <v>379</v>
      </c>
      <c r="X23" s="50">
        <v>1375.5957142857144</v>
      </c>
      <c r="Y23" s="51">
        <v>1495.5089053326949</v>
      </c>
      <c r="Z23" s="51">
        <v>1441.5204674232498</v>
      </c>
      <c r="AA23" s="52">
        <v>1549.49734324214</v>
      </c>
      <c r="AB23" s="51">
        <v>135</v>
      </c>
      <c r="AC23" s="50">
        <v>1034.7</v>
      </c>
      <c r="AD23" s="51">
        <v>1103.870658859355</v>
      </c>
      <c r="AE23" s="51">
        <v>1051.6331229758389</v>
      </c>
      <c r="AF23" s="52">
        <v>1156.1081947428711</v>
      </c>
    </row>
    <row r="24" spans="2:32" x14ac:dyDescent="0.3">
      <c r="P24" s="448">
        <v>2019</v>
      </c>
      <c r="Q24" s="48" t="s">
        <v>86</v>
      </c>
      <c r="R24" s="42">
        <v>2918</v>
      </c>
      <c r="S24" s="43">
        <v>1694.6581196581196</v>
      </c>
      <c r="T24" s="42">
        <v>1849.8183505235831</v>
      </c>
      <c r="U24" s="42">
        <v>1824.3940528964358</v>
      </c>
      <c r="V24" s="44">
        <v>1875.2426481507305</v>
      </c>
      <c r="W24" s="43">
        <v>486</v>
      </c>
      <c r="X24" s="43">
        <v>1370.0800597154732</v>
      </c>
      <c r="Y24" s="42">
        <v>1484.414440285168</v>
      </c>
      <c r="Z24" s="42">
        <v>1443.0289426370919</v>
      </c>
      <c r="AA24" s="44">
        <v>1525.7999379332441</v>
      </c>
      <c r="AB24" s="42">
        <v>189</v>
      </c>
      <c r="AC24" s="43">
        <v>1065.7933884297522</v>
      </c>
      <c r="AD24" s="42">
        <v>1135.700369273442</v>
      </c>
      <c r="AE24" s="42">
        <v>1089.9939634150321</v>
      </c>
      <c r="AF24" s="44">
        <v>1181.4067751318519</v>
      </c>
    </row>
    <row r="25" spans="2:32" x14ac:dyDescent="0.3">
      <c r="P25" s="448"/>
      <c r="Q25" s="48" t="s">
        <v>87</v>
      </c>
      <c r="R25" s="42">
        <v>3940</v>
      </c>
      <c r="S25" s="43">
        <v>1703.8619791666667</v>
      </c>
      <c r="T25" s="42">
        <v>1844.8563051127485</v>
      </c>
      <c r="U25" s="42">
        <v>1823.1971391292827</v>
      </c>
      <c r="V25" s="44">
        <v>1866.5154710962142</v>
      </c>
      <c r="W25" s="43">
        <v>712</v>
      </c>
      <c r="X25" s="43">
        <v>1352.4036595198281</v>
      </c>
      <c r="Y25" s="42">
        <v>1472.1483537042168</v>
      </c>
      <c r="Z25" s="42">
        <v>1438.9291883049532</v>
      </c>
      <c r="AA25" s="44">
        <v>1505.3675191034804</v>
      </c>
      <c r="AB25" s="42">
        <v>274</v>
      </c>
      <c r="AC25" s="43">
        <v>1035.0963081861958</v>
      </c>
      <c r="AD25" s="42">
        <v>1132.3802806977865</v>
      </c>
      <c r="AE25" s="42">
        <v>1087.9683369462873</v>
      </c>
      <c r="AF25" s="44">
        <v>1176.7922244492856</v>
      </c>
    </row>
    <row r="26" spans="2:32" x14ac:dyDescent="0.3">
      <c r="P26" s="449"/>
      <c r="Q26" s="49" t="s">
        <v>88</v>
      </c>
      <c r="R26" s="50">
        <v>7818</v>
      </c>
      <c r="S26" s="50">
        <v>1728.9141414141416</v>
      </c>
      <c r="T26" s="51">
        <v>1867.2523098785125</v>
      </c>
      <c r="U26" s="51">
        <v>1851.7820828153817</v>
      </c>
      <c r="V26" s="52">
        <v>1882.7225369416433</v>
      </c>
      <c r="W26" s="50">
        <v>1986</v>
      </c>
      <c r="X26" s="50">
        <v>1388.1548701298702</v>
      </c>
      <c r="Y26" s="51">
        <v>1507.8592964195327</v>
      </c>
      <c r="Z26" s="51">
        <v>1485.205484781419</v>
      </c>
      <c r="AA26" s="52">
        <v>1530.5131080576464</v>
      </c>
      <c r="AB26" s="51">
        <v>1133</v>
      </c>
      <c r="AC26" s="50">
        <v>1080.5978260869565</v>
      </c>
      <c r="AD26" s="51">
        <v>1184.7369464931189</v>
      </c>
      <c r="AE26" s="51">
        <v>1157.5314365454453</v>
      </c>
      <c r="AF26" s="52">
        <v>1211.9424564407925</v>
      </c>
    </row>
    <row r="27" spans="2:32" x14ac:dyDescent="0.3">
      <c r="P27" s="455" t="s">
        <v>89</v>
      </c>
      <c r="Q27" s="456"/>
      <c r="R27" s="53">
        <v>32370</v>
      </c>
      <c r="S27" s="53">
        <v>1677.7275705976708</v>
      </c>
      <c r="T27" s="54">
        <v>1815.8671181011734</v>
      </c>
      <c r="U27" s="54">
        <v>1808.0003460683863</v>
      </c>
      <c r="V27" s="55">
        <v>1823.7338901339606</v>
      </c>
      <c r="W27" s="53">
        <v>5326</v>
      </c>
      <c r="X27" s="53">
        <v>1372.0341436865799</v>
      </c>
      <c r="Y27" s="54">
        <v>1498.2848453735048</v>
      </c>
      <c r="Z27" s="54">
        <v>1483.5483532365322</v>
      </c>
      <c r="AA27" s="55">
        <v>1513.0213375104775</v>
      </c>
      <c r="AB27" s="54">
        <v>2435</v>
      </c>
      <c r="AC27" s="53">
        <v>1078.0649331563236</v>
      </c>
      <c r="AD27" s="54">
        <v>1138.9441252318732</v>
      </c>
      <c r="AE27" s="54">
        <v>1124.359273201841</v>
      </c>
      <c r="AF27" s="55">
        <v>1153.5289772619053</v>
      </c>
    </row>
    <row r="29" spans="2:32" x14ac:dyDescent="0.3">
      <c r="P29" s="56" t="s">
        <v>59</v>
      </c>
      <c r="Q29" s="57"/>
      <c r="R29" s="58"/>
      <c r="S29" s="57"/>
      <c r="T29" s="59"/>
      <c r="U29" s="59"/>
      <c r="V29" s="57"/>
      <c r="W29" s="57"/>
      <c r="X29" s="57"/>
      <c r="Y29" s="57"/>
      <c r="Z29" s="57"/>
      <c r="AA29" s="57"/>
    </row>
    <row r="30" spans="2:32" x14ac:dyDescent="0.3">
      <c r="P30" s="457" t="s">
        <v>90</v>
      </c>
      <c r="Q30" s="457"/>
      <c r="R30" s="457"/>
      <c r="S30" s="457"/>
      <c r="T30" s="457"/>
      <c r="U30" s="457"/>
      <c r="V30" s="457"/>
      <c r="W30" s="457"/>
      <c r="X30" s="457"/>
      <c r="Y30" s="457"/>
      <c r="Z30" s="457"/>
      <c r="AA30" s="457"/>
    </row>
    <row r="31" spans="2:32" x14ac:dyDescent="0.3">
      <c r="P31" s="457" t="s">
        <v>91</v>
      </c>
      <c r="Q31" s="457"/>
      <c r="R31" s="457"/>
      <c r="S31" s="457"/>
      <c r="T31" s="457"/>
      <c r="U31" s="457"/>
      <c r="V31" s="457"/>
      <c r="W31" s="457"/>
      <c r="X31" s="457"/>
      <c r="Y31" s="457"/>
      <c r="Z31" s="457"/>
      <c r="AA31" s="457"/>
    </row>
    <row r="32" spans="2:32" x14ac:dyDescent="0.3">
      <c r="P32" s="451" t="s">
        <v>92</v>
      </c>
      <c r="Q32" s="451"/>
      <c r="R32" s="451"/>
      <c r="S32" s="451"/>
      <c r="T32" s="451"/>
      <c r="U32" s="451"/>
      <c r="V32" s="451"/>
      <c r="W32" s="451"/>
      <c r="X32" s="451"/>
      <c r="Y32" s="451"/>
      <c r="Z32" s="451"/>
      <c r="AA32" s="451"/>
    </row>
    <row r="33" spans="16:27" x14ac:dyDescent="0.3">
      <c r="P33" s="451" t="s">
        <v>93</v>
      </c>
      <c r="Q33" s="451"/>
      <c r="R33" s="451"/>
      <c r="S33" s="451"/>
      <c r="T33" s="451"/>
      <c r="U33" s="451"/>
      <c r="V33" s="451"/>
      <c r="W33" s="451"/>
      <c r="X33" s="451"/>
      <c r="Y33" s="451"/>
      <c r="Z33" s="451"/>
      <c r="AA33" s="451"/>
    </row>
    <row r="34" spans="16:27" x14ac:dyDescent="0.3">
      <c r="P34" s="451" t="s">
        <v>94</v>
      </c>
      <c r="Q34" s="451"/>
      <c r="R34" s="451"/>
      <c r="S34" s="451"/>
      <c r="T34" s="451"/>
      <c r="U34" s="451"/>
      <c r="V34" s="451"/>
      <c r="W34" s="451"/>
      <c r="X34" s="451"/>
      <c r="Y34" s="451"/>
      <c r="Z34" s="451"/>
      <c r="AA34" s="451"/>
    </row>
    <row r="35" spans="16:27" x14ac:dyDescent="0.3">
      <c r="P35" s="452" t="s">
        <v>95</v>
      </c>
      <c r="Q35" s="452"/>
      <c r="R35" s="452"/>
      <c r="S35" s="452"/>
      <c r="T35" s="452"/>
      <c r="U35" s="452"/>
      <c r="V35" s="452"/>
      <c r="W35" s="452"/>
      <c r="X35" s="452"/>
      <c r="Y35" s="452"/>
      <c r="Z35" s="452"/>
      <c r="AA35" s="452"/>
    </row>
    <row r="36" spans="16:27" x14ac:dyDescent="0.3">
      <c r="P36" s="452"/>
      <c r="Q36" s="452"/>
      <c r="R36" s="452"/>
      <c r="S36" s="452"/>
      <c r="T36" s="452"/>
      <c r="U36" s="452"/>
      <c r="V36" s="452"/>
      <c r="W36" s="452"/>
      <c r="X36" s="452"/>
      <c r="Y36" s="452"/>
      <c r="Z36" s="452"/>
      <c r="AA36" s="452"/>
    </row>
    <row r="37" spans="16:27" x14ac:dyDescent="0.3">
      <c r="P37" s="452" t="s">
        <v>96</v>
      </c>
      <c r="Q37" s="452"/>
      <c r="R37" s="452"/>
      <c r="S37" s="452"/>
      <c r="T37" s="452"/>
      <c r="U37" s="452"/>
      <c r="V37" s="452"/>
      <c r="W37" s="452"/>
      <c r="X37" s="452"/>
      <c r="Y37" s="452"/>
      <c r="Z37" s="452"/>
      <c r="AA37" s="452"/>
    </row>
    <row r="38" spans="16:27" x14ac:dyDescent="0.3">
      <c r="P38" s="453" t="s">
        <v>97</v>
      </c>
      <c r="Q38" s="453"/>
      <c r="R38" s="453"/>
      <c r="S38" s="453"/>
      <c r="T38" s="453"/>
      <c r="U38" s="36"/>
      <c r="V38" s="36"/>
      <c r="W38" s="36"/>
      <c r="X38" s="36"/>
      <c r="Y38" s="36"/>
      <c r="Z38" s="36"/>
      <c r="AA38" s="36"/>
    </row>
    <row r="39" spans="16:27" x14ac:dyDescent="0.3">
      <c r="P39" s="60"/>
      <c r="Q39" s="60"/>
      <c r="R39" s="61"/>
      <c r="S39" s="36"/>
      <c r="T39" s="36"/>
      <c r="U39" s="36"/>
      <c r="V39" s="36"/>
      <c r="W39" s="36"/>
      <c r="X39" s="36"/>
      <c r="Y39" s="36"/>
      <c r="Z39" s="36"/>
      <c r="AA39" s="36"/>
    </row>
    <row r="40" spans="16:27" x14ac:dyDescent="0.3">
      <c r="P40" s="62" t="s">
        <v>0</v>
      </c>
      <c r="Q40" s="63" t="s">
        <v>67</v>
      </c>
      <c r="R40" s="62" t="s">
        <v>98</v>
      </c>
      <c r="S40" s="36"/>
      <c r="T40" s="36"/>
      <c r="U40" s="36"/>
      <c r="V40" s="36"/>
      <c r="W40" s="36"/>
      <c r="X40" s="36"/>
      <c r="Y40" s="36"/>
      <c r="Z40" s="36"/>
      <c r="AA40" s="36"/>
    </row>
    <row r="41" spans="16:27" x14ac:dyDescent="0.3">
      <c r="P41" s="454">
        <v>2018</v>
      </c>
      <c r="Q41" s="41" t="s">
        <v>77</v>
      </c>
      <c r="R41" s="64">
        <v>0.66419367434595866</v>
      </c>
      <c r="S41" s="36"/>
      <c r="T41" s="36"/>
      <c r="U41" s="36"/>
      <c r="V41" s="36"/>
      <c r="W41" s="36"/>
      <c r="X41" s="36"/>
      <c r="Y41" s="36"/>
      <c r="Z41" s="36"/>
      <c r="AA41" s="36"/>
    </row>
    <row r="42" spans="16:27" x14ac:dyDescent="0.3">
      <c r="P42" s="448"/>
      <c r="Q42" s="48" t="s">
        <v>78</v>
      </c>
      <c r="R42" s="65">
        <v>0.68203551912568305</v>
      </c>
      <c r="S42" s="36"/>
      <c r="T42" s="36"/>
      <c r="U42" s="36"/>
      <c r="V42" s="36"/>
      <c r="W42" s="36"/>
      <c r="X42" s="36"/>
      <c r="Y42" s="36"/>
      <c r="Z42" s="36"/>
      <c r="AA42" s="36"/>
    </row>
    <row r="43" spans="16:27" x14ac:dyDescent="0.3">
      <c r="P43" s="448"/>
      <c r="Q43" s="48" t="s">
        <v>79</v>
      </c>
      <c r="R43" s="65">
        <v>0.45928030303030304</v>
      </c>
      <c r="S43" s="36"/>
      <c r="T43" s="36"/>
      <c r="U43" s="36"/>
      <c r="V43" s="36"/>
      <c r="W43" s="36"/>
      <c r="X43" s="36"/>
      <c r="Y43" s="36"/>
      <c r="Z43" s="36"/>
      <c r="AA43" s="36"/>
    </row>
    <row r="44" spans="16:27" x14ac:dyDescent="0.3">
      <c r="P44" s="448"/>
      <c r="Q44" s="48" t="s">
        <v>80</v>
      </c>
      <c r="R44" s="65">
        <v>0.70716624226991631</v>
      </c>
      <c r="S44" s="36"/>
      <c r="T44" s="36"/>
      <c r="U44" s="36"/>
      <c r="V44" s="36"/>
      <c r="W44" s="36"/>
      <c r="X44" s="36"/>
      <c r="Y44" s="36"/>
      <c r="Z44" s="36"/>
      <c r="AA44" s="36"/>
    </row>
    <row r="45" spans="16:27" x14ac:dyDescent="0.3">
      <c r="P45" s="448"/>
      <c r="Q45" s="48" t="s">
        <v>81</v>
      </c>
      <c r="R45" s="65">
        <v>0.69550492610837433</v>
      </c>
      <c r="S45" s="36"/>
      <c r="T45" s="36"/>
      <c r="U45" s="36"/>
      <c r="V45" s="36"/>
      <c r="W45" s="36"/>
      <c r="X45" s="36"/>
      <c r="Y45" s="36"/>
      <c r="Z45" s="36"/>
      <c r="AA45" s="36"/>
    </row>
    <row r="46" spans="16:27" x14ac:dyDescent="0.3">
      <c r="P46" s="448"/>
      <c r="Q46" s="48" t="s">
        <v>82</v>
      </c>
      <c r="R46" s="65">
        <v>0.70578182853887783</v>
      </c>
      <c r="S46" s="36"/>
      <c r="T46" s="36"/>
      <c r="U46" s="36"/>
      <c r="V46" s="36"/>
      <c r="W46" s="36"/>
      <c r="X46" s="36"/>
      <c r="Y46" s="36"/>
      <c r="Z46" s="36"/>
      <c r="AA46" s="36"/>
    </row>
    <row r="47" spans="16:27" x14ac:dyDescent="0.3">
      <c r="P47" s="448"/>
      <c r="Q47" s="48" t="s">
        <v>83</v>
      </c>
      <c r="R47" s="65">
        <v>0.67505839605502205</v>
      </c>
      <c r="S47" s="36"/>
      <c r="T47" s="36"/>
      <c r="U47" s="36"/>
      <c r="V47" s="36"/>
      <c r="W47" s="36"/>
      <c r="X47" s="36"/>
      <c r="Y47" s="36"/>
      <c r="Z47" s="36"/>
      <c r="AA47" s="36"/>
    </row>
    <row r="48" spans="16:27" x14ac:dyDescent="0.3">
      <c r="P48" s="448"/>
      <c r="Q48" s="48" t="s">
        <v>84</v>
      </c>
      <c r="R48" s="65">
        <v>0.74225923553277817</v>
      </c>
      <c r="S48" s="36"/>
      <c r="T48" s="36"/>
      <c r="U48" s="36"/>
      <c r="V48" s="36"/>
      <c r="W48" s="36"/>
      <c r="X48" s="36"/>
      <c r="Y48" s="36"/>
      <c r="Z48" s="36"/>
      <c r="AA48" s="36"/>
    </row>
    <row r="49" spans="16:27" x14ac:dyDescent="0.3">
      <c r="P49" s="449"/>
      <c r="Q49" s="49" t="s">
        <v>85</v>
      </c>
      <c r="R49" s="66">
        <v>0.74521434348881099</v>
      </c>
      <c r="S49" s="36"/>
      <c r="T49" s="36"/>
      <c r="U49" s="36"/>
      <c r="V49" s="36"/>
      <c r="W49" s="36"/>
      <c r="X49" s="36"/>
      <c r="Y49" s="36"/>
      <c r="Z49" s="36"/>
      <c r="AA49" s="36"/>
    </row>
    <row r="50" spans="16:27" x14ac:dyDescent="0.3">
      <c r="P50" s="448">
        <v>2019</v>
      </c>
      <c r="Q50" s="48" t="s">
        <v>86</v>
      </c>
      <c r="R50" s="64">
        <v>0.72250150814397751</v>
      </c>
      <c r="S50" s="36"/>
      <c r="T50" s="36"/>
      <c r="U50" s="36"/>
      <c r="V50" s="36"/>
      <c r="W50" s="36"/>
      <c r="X50" s="36"/>
      <c r="Y50" s="36"/>
      <c r="Z50" s="36"/>
      <c r="AA50" s="36"/>
    </row>
    <row r="51" spans="16:27" x14ac:dyDescent="0.3">
      <c r="P51" s="448"/>
      <c r="Q51" s="48" t="s">
        <v>87</v>
      </c>
      <c r="R51" s="65">
        <v>0.82058970514742624</v>
      </c>
      <c r="S51" s="36"/>
      <c r="T51" s="36"/>
      <c r="U51" s="36"/>
      <c r="V51" s="36"/>
      <c r="W51" s="36"/>
      <c r="X51" s="36"/>
      <c r="Y51" s="36"/>
      <c r="Z51" s="36"/>
      <c r="AA51" s="36"/>
    </row>
    <row r="52" spans="16:27" x14ac:dyDescent="0.3">
      <c r="P52" s="449"/>
      <c r="Q52" s="49" t="s">
        <v>88</v>
      </c>
      <c r="R52" s="66">
        <v>0.72700079766019676</v>
      </c>
      <c r="S52" s="36"/>
      <c r="T52" s="36"/>
      <c r="U52" s="36"/>
      <c r="V52" s="36"/>
      <c r="W52" s="36"/>
      <c r="X52" s="36"/>
      <c r="Y52" s="36"/>
      <c r="Z52" s="36"/>
      <c r="AA52" s="36"/>
    </row>
    <row r="53" spans="16:27" x14ac:dyDescent="0.3">
      <c r="P53" s="36"/>
      <c r="Q53" s="36"/>
      <c r="R53" s="36"/>
      <c r="S53" s="36"/>
      <c r="T53" s="36"/>
      <c r="U53" s="36"/>
      <c r="V53" s="36"/>
      <c r="W53" s="36"/>
      <c r="X53" s="36"/>
      <c r="Y53" s="36"/>
      <c r="Z53" s="36"/>
      <c r="AA53" s="36"/>
    </row>
  </sheetData>
  <mergeCells count="22">
    <mergeCell ref="R12:V12"/>
    <mergeCell ref="W12:AA12"/>
    <mergeCell ref="AB12:AF12"/>
    <mergeCell ref="S13:V13"/>
    <mergeCell ref="X13:AA13"/>
    <mergeCell ref="AC13:AF13"/>
    <mergeCell ref="P50:P52"/>
    <mergeCell ref="P2:X2"/>
    <mergeCell ref="P33:AA33"/>
    <mergeCell ref="P34:AA34"/>
    <mergeCell ref="P35:AA36"/>
    <mergeCell ref="P37:AA37"/>
    <mergeCell ref="P38:T38"/>
    <mergeCell ref="P41:P49"/>
    <mergeCell ref="P15:P23"/>
    <mergeCell ref="P24:P26"/>
    <mergeCell ref="P27:Q27"/>
    <mergeCell ref="P30:AA30"/>
    <mergeCell ref="P31:AA31"/>
    <mergeCell ref="P32:AA32"/>
    <mergeCell ref="P12:P14"/>
    <mergeCell ref="Q12:Q14"/>
  </mergeCells>
  <hyperlinks>
    <hyperlink ref="Y3" r:id="rId1" xr:uid="{00000000-0004-0000-1200-000000000000}"/>
    <hyperlink ref="P3" r:id="rId2" xr:uid="{00000000-0004-0000-1200-000001000000}"/>
  </hyperlinks>
  <pageMargins left="0.7" right="0.7" top="0.75" bottom="0.75" header="0.3" footer="0.3"/>
  <pageSetup paperSize="9" orientation="portrait" r:id="rId3"/>
  <drawing r:id="rId4"/>
  <legacyDrawing r:id="rId5"/>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7" tint="0.39997558519241921"/>
  </sheetPr>
  <dimension ref="A2:AC18"/>
  <sheetViews>
    <sheetView topLeftCell="C1" workbookViewId="0">
      <selection activeCell="I27" sqref="I27"/>
    </sheetView>
  </sheetViews>
  <sheetFormatPr defaultRowHeight="14.4" x14ac:dyDescent="0.3"/>
  <cols>
    <col min="1" max="1" width="10" bestFit="1" customWidth="1"/>
    <col min="2" max="2" width="12.33203125" bestFit="1" customWidth="1"/>
    <col min="3" max="3" width="20.109375" bestFit="1" customWidth="1"/>
    <col min="4" max="4" width="21.88671875" bestFit="1" customWidth="1"/>
    <col min="5" max="5" width="20" bestFit="1" customWidth="1"/>
    <col min="6" max="6" width="25.33203125" bestFit="1" customWidth="1"/>
    <col min="7" max="7" width="21.6640625" bestFit="1" customWidth="1"/>
    <col min="8" max="8" width="12.6640625" bestFit="1" customWidth="1"/>
    <col min="9" max="9" width="43.6640625" bestFit="1" customWidth="1"/>
    <col min="10" max="10" width="21.44140625" bestFit="1" customWidth="1"/>
    <col min="11" max="11" width="20.88671875" bestFit="1" customWidth="1"/>
    <col min="12" max="12" width="39.33203125" bestFit="1" customWidth="1"/>
    <col min="14" max="14" width="10.5546875" bestFit="1" customWidth="1"/>
    <col min="15" max="15" width="26.5546875" bestFit="1" customWidth="1"/>
  </cols>
  <sheetData>
    <row r="2" spans="1:29" x14ac:dyDescent="0.3">
      <c r="C2" s="260" t="s">
        <v>61</v>
      </c>
      <c r="D2" s="12" t="s">
        <v>228</v>
      </c>
      <c r="E2" s="260" t="s">
        <v>298</v>
      </c>
      <c r="F2" s="260" t="s">
        <v>299</v>
      </c>
      <c r="G2" s="260" t="s">
        <v>300</v>
      </c>
      <c r="H2" s="260" t="s">
        <v>301</v>
      </c>
      <c r="I2" s="260" t="s">
        <v>302</v>
      </c>
      <c r="J2" s="260" t="s">
        <v>303</v>
      </c>
      <c r="K2" s="260" t="s">
        <v>304</v>
      </c>
      <c r="L2" s="260" t="s">
        <v>305</v>
      </c>
      <c r="M2" s="260" t="s">
        <v>306</v>
      </c>
      <c r="N2" s="260" t="s">
        <v>307</v>
      </c>
      <c r="O2" s="260" t="s">
        <v>308</v>
      </c>
      <c r="P2" s="260" t="s">
        <v>309</v>
      </c>
      <c r="Q2" s="260" t="s">
        <v>310</v>
      </c>
      <c r="R2" s="260" t="s">
        <v>311</v>
      </c>
      <c r="S2" s="69"/>
      <c r="T2" s="69"/>
      <c r="U2" s="69"/>
      <c r="V2" s="69"/>
    </row>
    <row r="3" spans="1:29" x14ac:dyDescent="0.3">
      <c r="C3" t="s">
        <v>363</v>
      </c>
      <c r="D3" s="69" t="s">
        <v>312</v>
      </c>
      <c r="E3" s="69" t="s">
        <v>313</v>
      </c>
      <c r="F3" s="69">
        <v>5500</v>
      </c>
      <c r="G3" s="69">
        <v>13.5</v>
      </c>
      <c r="H3" s="69">
        <f t="shared" ref="H3:H11" si="0">F3/G3</f>
        <v>407.40740740740739</v>
      </c>
      <c r="I3" s="69">
        <f t="shared" ref="I3:I11" si="1">F3/(G3*K3*J3*O3)</f>
        <v>7.5445816186556922E-2</v>
      </c>
      <c r="J3" s="69">
        <v>1</v>
      </c>
      <c r="K3" s="69">
        <v>6000</v>
      </c>
      <c r="L3" s="69" t="s">
        <v>314</v>
      </c>
      <c r="M3" s="69">
        <v>10</v>
      </c>
      <c r="N3" s="69"/>
      <c r="O3" s="69">
        <v>0.9</v>
      </c>
      <c r="P3" s="261" t="s">
        <v>315</v>
      </c>
      <c r="Q3" s="69"/>
      <c r="R3" s="69"/>
      <c r="S3" s="69"/>
      <c r="T3" s="69"/>
      <c r="U3" s="69"/>
      <c r="V3" s="69"/>
    </row>
    <row r="4" spans="1:29" x14ac:dyDescent="0.3">
      <c r="C4" t="s">
        <v>364</v>
      </c>
      <c r="D4" s="69" t="s">
        <v>316</v>
      </c>
      <c r="E4" s="69" t="s">
        <v>317</v>
      </c>
      <c r="F4" s="69">
        <v>2000</v>
      </c>
      <c r="G4" s="69">
        <v>4</v>
      </c>
      <c r="H4" s="69">
        <f t="shared" si="0"/>
        <v>500</v>
      </c>
      <c r="I4" s="69">
        <f t="shared" si="1"/>
        <v>0.61728395061728392</v>
      </c>
      <c r="J4" s="69">
        <v>0.5</v>
      </c>
      <c r="K4" s="69">
        <v>1800</v>
      </c>
      <c r="L4" s="69">
        <v>1800</v>
      </c>
      <c r="M4" s="69" t="s">
        <v>318</v>
      </c>
      <c r="N4" s="69"/>
      <c r="O4" s="69">
        <v>0.9</v>
      </c>
      <c r="P4" s="69"/>
      <c r="Q4" s="69"/>
      <c r="R4" s="69"/>
      <c r="S4" s="69"/>
      <c r="T4" s="69"/>
      <c r="U4" s="69"/>
      <c r="V4" s="69"/>
    </row>
    <row r="5" spans="1:29" x14ac:dyDescent="0.3">
      <c r="C5" t="s">
        <v>364</v>
      </c>
      <c r="D5" s="69" t="s">
        <v>319</v>
      </c>
      <c r="E5" s="69" t="s">
        <v>313</v>
      </c>
      <c r="F5" s="69">
        <v>4000</v>
      </c>
      <c r="G5" s="69">
        <v>4</v>
      </c>
      <c r="H5" s="69">
        <f t="shared" si="0"/>
        <v>1000</v>
      </c>
      <c r="I5" s="69">
        <f t="shared" si="1"/>
        <v>0.30864197530864196</v>
      </c>
      <c r="J5" s="69">
        <v>0.9</v>
      </c>
      <c r="K5" s="69">
        <v>4000</v>
      </c>
      <c r="L5" s="69">
        <v>4000</v>
      </c>
      <c r="M5" s="69" t="s">
        <v>318</v>
      </c>
      <c r="N5" s="69"/>
      <c r="O5" s="69">
        <v>0.9</v>
      </c>
      <c r="P5" s="69"/>
      <c r="Q5" s="69"/>
      <c r="R5" s="69"/>
      <c r="S5" s="69"/>
      <c r="T5" s="69"/>
      <c r="U5" s="69"/>
      <c r="V5" s="69"/>
    </row>
    <row r="6" spans="1:29" x14ac:dyDescent="0.3">
      <c r="C6" t="s">
        <v>365</v>
      </c>
      <c r="D6" s="69" t="s">
        <v>320</v>
      </c>
      <c r="E6" s="69" t="s">
        <v>313</v>
      </c>
      <c r="F6" s="69">
        <v>3043</v>
      </c>
      <c r="G6" s="69">
        <v>6.5</v>
      </c>
      <c r="H6" s="69">
        <f t="shared" si="0"/>
        <v>468.15384615384613</v>
      </c>
      <c r="I6" s="69">
        <f t="shared" si="1"/>
        <v>9.6327951883507443E-2</v>
      </c>
      <c r="J6" s="69">
        <v>0.9</v>
      </c>
      <c r="K6" s="69">
        <v>6000</v>
      </c>
      <c r="L6" s="69">
        <v>6000</v>
      </c>
      <c r="M6" s="69">
        <v>10</v>
      </c>
      <c r="N6" s="69"/>
      <c r="O6" s="69">
        <v>0.9</v>
      </c>
      <c r="P6" s="69"/>
      <c r="Q6" s="69"/>
      <c r="R6" s="69"/>
      <c r="S6" s="69"/>
      <c r="T6" s="69"/>
      <c r="U6" s="69"/>
      <c r="V6" s="69"/>
      <c r="AC6" s="73" t="s">
        <v>127</v>
      </c>
    </row>
    <row r="7" spans="1:29" x14ac:dyDescent="0.3">
      <c r="C7" t="s">
        <v>366</v>
      </c>
      <c r="D7" s="69" t="s">
        <v>321</v>
      </c>
      <c r="E7" s="69" t="s">
        <v>313</v>
      </c>
      <c r="F7" s="69">
        <v>4010</v>
      </c>
      <c r="G7" s="69">
        <v>3.5</v>
      </c>
      <c r="H7" s="69">
        <f t="shared" si="0"/>
        <v>1145.7142857142858</v>
      </c>
      <c r="I7" s="69">
        <f t="shared" si="1"/>
        <v>0.22333611807296017</v>
      </c>
      <c r="J7" s="69">
        <v>0.95</v>
      </c>
      <c r="K7" s="69">
        <v>6000</v>
      </c>
      <c r="L7" s="69">
        <v>6000</v>
      </c>
      <c r="M7" s="69">
        <v>10</v>
      </c>
      <c r="N7" s="69"/>
      <c r="O7" s="69">
        <v>0.9</v>
      </c>
      <c r="P7" s="69"/>
      <c r="Q7" s="69" t="s">
        <v>322</v>
      </c>
      <c r="R7" s="69"/>
      <c r="S7" s="69"/>
      <c r="T7" s="69"/>
      <c r="U7" s="69"/>
      <c r="V7" s="69"/>
    </row>
    <row r="8" spans="1:29" x14ac:dyDescent="0.3">
      <c r="C8" t="s">
        <v>367</v>
      </c>
      <c r="D8" s="69" t="s">
        <v>323</v>
      </c>
      <c r="E8" s="69" t="s">
        <v>324</v>
      </c>
      <c r="F8" s="69">
        <v>4470</v>
      </c>
      <c r="G8" s="69">
        <v>4</v>
      </c>
      <c r="H8" s="69">
        <f t="shared" si="0"/>
        <v>1117.5</v>
      </c>
      <c r="I8" s="69">
        <f t="shared" si="1"/>
        <v>0.20694444444444443</v>
      </c>
      <c r="J8" s="69">
        <v>1</v>
      </c>
      <c r="K8" s="69">
        <v>6000</v>
      </c>
      <c r="L8" s="69" t="s">
        <v>325</v>
      </c>
      <c r="M8" s="69">
        <v>10</v>
      </c>
      <c r="N8" s="69"/>
      <c r="O8" s="69">
        <v>0.9</v>
      </c>
      <c r="P8" s="69"/>
      <c r="Q8" s="69"/>
      <c r="R8" s="69"/>
      <c r="S8" s="69"/>
      <c r="T8" s="69"/>
      <c r="U8" s="69"/>
      <c r="V8" s="69"/>
    </row>
    <row r="9" spans="1:29" x14ac:dyDescent="0.3">
      <c r="C9" t="s">
        <v>367</v>
      </c>
      <c r="D9" s="69" t="s">
        <v>326</v>
      </c>
      <c r="E9" s="69" t="s">
        <v>324</v>
      </c>
      <c r="F9" s="69">
        <v>7020</v>
      </c>
      <c r="G9" s="69">
        <v>8</v>
      </c>
      <c r="H9" s="69">
        <f t="shared" si="0"/>
        <v>877.5</v>
      </c>
      <c r="I9" s="69">
        <f t="shared" si="1"/>
        <v>0.16250000000000001</v>
      </c>
      <c r="J9" s="69">
        <v>1</v>
      </c>
      <c r="K9" s="69">
        <v>6000</v>
      </c>
      <c r="L9" s="69" t="s">
        <v>325</v>
      </c>
      <c r="M9" s="69">
        <v>10</v>
      </c>
      <c r="N9" s="69"/>
      <c r="O9" s="69">
        <v>0.9</v>
      </c>
      <c r="P9" s="69"/>
      <c r="Q9" s="69"/>
      <c r="R9" s="69"/>
      <c r="S9" s="69"/>
      <c r="T9" s="69"/>
      <c r="U9" s="69"/>
      <c r="V9" s="69"/>
    </row>
    <row r="10" spans="1:29" x14ac:dyDescent="0.3">
      <c r="A10" s="34" t="s">
        <v>128</v>
      </c>
      <c r="C10" t="s">
        <v>368</v>
      </c>
      <c r="D10" s="69" t="s">
        <v>327</v>
      </c>
      <c r="E10" s="69" t="s">
        <v>328</v>
      </c>
      <c r="F10" s="69">
        <v>6400</v>
      </c>
      <c r="G10" s="69">
        <v>6.2</v>
      </c>
      <c r="H10" s="69">
        <f t="shared" si="0"/>
        <v>1032.258064516129</v>
      </c>
      <c r="I10" s="69">
        <f t="shared" si="1"/>
        <v>0.13493569470799072</v>
      </c>
      <c r="J10" s="69">
        <v>0.9</v>
      </c>
      <c r="K10" s="69">
        <v>10000</v>
      </c>
      <c r="L10" s="69" t="s">
        <v>329</v>
      </c>
      <c r="M10" s="69"/>
      <c r="N10" s="69">
        <v>0</v>
      </c>
      <c r="O10" s="69">
        <v>0.85</v>
      </c>
      <c r="P10" s="69" t="s">
        <v>330</v>
      </c>
      <c r="Q10" s="69" t="s">
        <v>331</v>
      </c>
      <c r="R10" s="73" t="s">
        <v>332</v>
      </c>
      <c r="S10" s="69"/>
      <c r="T10" s="69"/>
      <c r="U10" s="69"/>
      <c r="V10" s="69"/>
    </row>
    <row r="11" spans="1:29" x14ac:dyDescent="0.3">
      <c r="C11" s="69" t="s">
        <v>380</v>
      </c>
      <c r="D11" s="69" t="s">
        <v>381</v>
      </c>
      <c r="E11" s="69" t="s">
        <v>313</v>
      </c>
      <c r="F11" s="69">
        <v>3000</v>
      </c>
      <c r="G11" s="69">
        <v>10.24</v>
      </c>
      <c r="H11" s="69">
        <f t="shared" si="0"/>
        <v>292.96875</v>
      </c>
      <c r="I11" s="69">
        <f t="shared" si="1"/>
        <v>6.7816840277777776E-2</v>
      </c>
      <c r="J11" s="69">
        <v>0.8</v>
      </c>
      <c r="K11" s="69">
        <v>6000</v>
      </c>
      <c r="M11" s="69">
        <v>10</v>
      </c>
      <c r="O11" s="69">
        <v>0.9</v>
      </c>
      <c r="S11" s="69"/>
      <c r="T11" s="69"/>
      <c r="U11" s="69"/>
      <c r="V11" s="69"/>
    </row>
    <row r="12" spans="1:29" x14ac:dyDescent="0.3">
      <c r="C12" s="69"/>
      <c r="E12" s="69" t="s">
        <v>333</v>
      </c>
      <c r="F12" s="69">
        <v>3200</v>
      </c>
      <c r="G12" s="69">
        <v>5</v>
      </c>
      <c r="H12" s="69">
        <f>F12/G12</f>
        <v>640</v>
      </c>
      <c r="I12" s="69">
        <f>F12/(G12*K12*J12*O12)</f>
        <v>0.17777777777777778</v>
      </c>
      <c r="J12" s="69">
        <v>0.8</v>
      </c>
      <c r="K12" s="69">
        <v>5000</v>
      </c>
      <c r="L12" s="69">
        <v>5000</v>
      </c>
      <c r="M12" s="69">
        <v>10</v>
      </c>
      <c r="N12" s="69"/>
      <c r="O12" s="69">
        <v>0.9</v>
      </c>
      <c r="P12" s="261" t="s">
        <v>334</v>
      </c>
      <c r="Q12" s="69" t="s">
        <v>335</v>
      </c>
      <c r="R12" s="69" t="s">
        <v>336</v>
      </c>
      <c r="S12" s="69"/>
      <c r="T12" s="69"/>
      <c r="U12" s="69"/>
      <c r="V12" s="69"/>
    </row>
    <row r="13" spans="1:29" x14ac:dyDescent="0.3">
      <c r="C13" s="69"/>
      <c r="E13" s="69" t="s">
        <v>337</v>
      </c>
      <c r="F13" s="69"/>
      <c r="G13" s="69"/>
      <c r="H13" s="69"/>
      <c r="I13" s="69"/>
      <c r="J13" s="69"/>
      <c r="K13" s="69"/>
      <c r="L13" s="69"/>
      <c r="M13" s="69"/>
      <c r="N13" s="69"/>
      <c r="O13" s="69"/>
      <c r="P13" s="69"/>
      <c r="Q13" s="69"/>
      <c r="R13" s="69"/>
      <c r="U13" s="69"/>
      <c r="V13" s="69"/>
    </row>
    <row r="14" spans="1:29" x14ac:dyDescent="0.3">
      <c r="C14" s="236"/>
      <c r="E14" s="69" t="s">
        <v>338</v>
      </c>
      <c r="F14" s="69"/>
      <c r="G14" s="69"/>
      <c r="H14" s="69"/>
      <c r="I14" s="69"/>
      <c r="J14" s="69"/>
      <c r="K14" s="69"/>
      <c r="L14" s="69"/>
      <c r="M14" s="69"/>
      <c r="N14" s="69"/>
      <c r="O14" s="69"/>
      <c r="P14" s="69"/>
      <c r="Q14" s="69"/>
      <c r="R14" s="69"/>
      <c r="U14" s="69"/>
      <c r="V14" s="69"/>
    </row>
    <row r="15" spans="1:29" x14ac:dyDescent="0.3">
      <c r="C15" s="236"/>
      <c r="E15" s="236"/>
      <c r="F15" s="236"/>
      <c r="G15" s="236"/>
      <c r="H15" s="236"/>
      <c r="I15" s="236"/>
      <c r="J15" s="236"/>
      <c r="K15" s="236"/>
      <c r="L15" s="69"/>
      <c r="M15" s="69"/>
      <c r="N15" s="69"/>
      <c r="O15" s="69"/>
      <c r="P15" s="69"/>
      <c r="Q15" s="69"/>
      <c r="R15" s="69"/>
      <c r="U15" s="69"/>
      <c r="V15" s="69"/>
    </row>
    <row r="16" spans="1:29" x14ac:dyDescent="0.3">
      <c r="C16" s="236"/>
      <c r="U16" s="69"/>
      <c r="V16" s="69"/>
    </row>
    <row r="17" spans="3:22" x14ac:dyDescent="0.3">
      <c r="C17" t="s">
        <v>380</v>
      </c>
      <c r="D17" s="236" t="s">
        <v>382</v>
      </c>
      <c r="F17" s="13">
        <v>810</v>
      </c>
      <c r="M17" t="s">
        <v>385</v>
      </c>
      <c r="U17" s="69"/>
      <c r="V17" s="69"/>
    </row>
    <row r="18" spans="3:22" ht="43.2" x14ac:dyDescent="0.3">
      <c r="C18" t="s">
        <v>380</v>
      </c>
      <c r="D18" s="326" t="s">
        <v>383</v>
      </c>
      <c r="F18" t="s">
        <v>384</v>
      </c>
    </row>
  </sheetData>
  <hyperlinks>
    <hyperlink ref="AC6" r:id="rId1" xr:uid="{00000000-0004-0000-1300-000000000000}"/>
    <hyperlink ref="R10" r:id="rId2" xr:uid="{8B3795EC-8911-4C8B-8785-1A99D7BA486F}"/>
  </hyperlinks>
  <pageMargins left="0.7" right="0.7" top="0.75" bottom="0.75" header="0.3" footer="0.3"/>
  <drawing r:id="rId3"/>
  <legacyDrawing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7" tint="0.39997558519241921"/>
  </sheetPr>
  <dimension ref="A1"/>
  <sheetViews>
    <sheetView workbookViewId="0">
      <selection activeCell="P21" sqref="P21"/>
    </sheetView>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instructions</vt:lpstr>
      <vt:lpstr>1. Site details</vt:lpstr>
      <vt:lpstr>2. Hardware</vt:lpstr>
      <vt:lpstr>3. Installation</vt:lpstr>
      <vt:lpstr>4a. Cost Summaries</vt:lpstr>
      <vt:lpstr>4b. Energy Summaries</vt:lpstr>
      <vt:lpstr>5. Site Cashflow</vt:lpstr>
      <vt:lpstr>Generation Enhancement</vt:lpstr>
      <vt:lpstr>Environmentally Friendly Asset</vt:lpstr>
      <vt:lpstr>Household Offer</vt:lpstr>
      <vt:lpstr>REF</vt:lpstr>
      <vt:lpstr>PV Products</vt:lpstr>
      <vt:lpstr>Battery Products</vt:lpstr>
      <vt:lpstr>Cabling &amp; 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ruper</dc:creator>
  <cp:lastModifiedBy>ruper</cp:lastModifiedBy>
  <cp:lastPrinted>2020-10-30T16:45:40Z</cp:lastPrinted>
  <dcterms:created xsi:type="dcterms:W3CDTF">2020-10-26T12:02:10Z</dcterms:created>
  <dcterms:modified xsi:type="dcterms:W3CDTF">2021-07-22T15:31:43Z</dcterms:modified>
</cp:coreProperties>
</file>